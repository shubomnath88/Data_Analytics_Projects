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76"/>
  </bookViews>
  <sheets>
    <sheet name="patients" sheetId="1" r:id="rId1"/>
    <sheet name="labs" sheetId="2" r:id="rId2"/>
    <sheet name="outcomes" sheetId="3" r:id="rId3"/>
    <sheet name="diagnoses" sheetId="4" r:id="rId4"/>
  </sheets>
  <definedNames>
    <definedName name="_xlnm._FilterDatabase" localSheetId="1" hidden="1">labs!$A$1:$E$201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<sst xmlns="http://schemas.openxmlformats.org/spreadsheetml/2006/main" count="836" uniqueCount="245">
  <si>
    <t>PatientID</t>
  </si>
  <si>
    <t>Name</t>
  </si>
  <si>
    <t>Age</t>
  </si>
  <si>
    <t>Gender</t>
  </si>
  <si>
    <t>DiagnosisID</t>
  </si>
  <si>
    <t>AdmissionDate</t>
  </si>
  <si>
    <t>DischargeDate</t>
  </si>
  <si>
    <t>OutcomeID</t>
  </si>
  <si>
    <t>TreatmentCost</t>
  </si>
  <si>
    <t>DiagnosisName</t>
  </si>
  <si>
    <t>OutcomeName</t>
  </si>
  <si>
    <t>LengthOfStay</t>
  </si>
  <si>
    <t>AbnormalBloodSugar</t>
  </si>
  <si>
    <t>Risk Score</t>
  </si>
  <si>
    <t>Edward Montes</t>
  </si>
  <si>
    <t>M</t>
  </si>
  <si>
    <t>Jessica Zimmerman</t>
  </si>
  <si>
    <t>Gina Alexander</t>
  </si>
  <si>
    <t>Lori Green</t>
  </si>
  <si>
    <t>F</t>
  </si>
  <si>
    <t>Jack Logan</t>
  </si>
  <si>
    <t>Melinda Robinson</t>
  </si>
  <si>
    <t>Sherry Robinson</t>
  </si>
  <si>
    <t>James Watts</t>
  </si>
  <si>
    <t>Jeanne Butler</t>
  </si>
  <si>
    <t>Benjamin Rogers</t>
  </si>
  <si>
    <t>Carol Sanchez</t>
  </si>
  <si>
    <t>Stacy Clark</t>
  </si>
  <si>
    <t>Kimberly Chase</t>
  </si>
  <si>
    <t>Cody Ryan</t>
  </si>
  <si>
    <t>Kimberly Alexander</t>
  </si>
  <si>
    <t>Olivia Roy</t>
  </si>
  <si>
    <t>Sabrina Medina</t>
  </si>
  <si>
    <t>Jennifer Wright</t>
  </si>
  <si>
    <t>Christian Lynch</t>
  </si>
  <si>
    <t>Jorge Castillo</t>
  </si>
  <si>
    <t>Nicholas Wilcox</t>
  </si>
  <si>
    <t>Toni Gomez</t>
  </si>
  <si>
    <t>Emily King</t>
  </si>
  <si>
    <t>Jordan Harris</t>
  </si>
  <si>
    <t>Adriana Rogers</t>
  </si>
  <si>
    <t>Samuel Thompson</t>
  </si>
  <si>
    <t>Brenda Huber</t>
  </si>
  <si>
    <t>Brett Washington</t>
  </si>
  <si>
    <t>Katherine Gonzales</t>
  </si>
  <si>
    <t>Jacqueline Bauer</t>
  </si>
  <si>
    <t>Brittany Walker</t>
  </si>
  <si>
    <t>Tommy Atkinson</t>
  </si>
  <si>
    <t>Miss Kathryn Mitchell</t>
  </si>
  <si>
    <t>Steven Morales</t>
  </si>
  <si>
    <t>Anthony Frederick</t>
  </si>
  <si>
    <t>Beverly Dillon</t>
  </si>
  <si>
    <t>Monica Walker</t>
  </si>
  <si>
    <t>Russell Small</t>
  </si>
  <si>
    <t>Matthew Rios</t>
  </si>
  <si>
    <t>Nicole Vargas</t>
  </si>
  <si>
    <t>Richard Hill</t>
  </si>
  <si>
    <t>Bonnie Herman</t>
  </si>
  <si>
    <t>Nicholas Wright</t>
  </si>
  <si>
    <t>Kelsey Sanchez</t>
  </si>
  <si>
    <t>Deborah Little</t>
  </si>
  <si>
    <t>Mrs. Carol Andrade</t>
  </si>
  <si>
    <t>Carlos Gutierrez</t>
  </si>
  <si>
    <t>Casey Schneider</t>
  </si>
  <si>
    <t>Lisa Frazier</t>
  </si>
  <si>
    <t>Katie Lawson</t>
  </si>
  <si>
    <t>Mary Johnson</t>
  </si>
  <si>
    <t>Michael Maxwell</t>
  </si>
  <si>
    <t>Patrick Mccormick</t>
  </si>
  <si>
    <t>Bruce Jones</t>
  </si>
  <si>
    <t>Austin Huffman</t>
  </si>
  <si>
    <t>Heather Peterson</t>
  </si>
  <si>
    <t>Justin Keller</t>
  </si>
  <si>
    <t>Robert Aguirre</t>
  </si>
  <si>
    <t>Christopher Hoffman</t>
  </si>
  <si>
    <t>Tamara Pacheco</t>
  </si>
  <si>
    <t>Jared Hughes</t>
  </si>
  <si>
    <t>Samantha Peck</t>
  </si>
  <si>
    <t>Jared Jacobs</t>
  </si>
  <si>
    <t>Rachel Johnson</t>
  </si>
  <si>
    <t>Lauren Skinner</t>
  </si>
  <si>
    <t>Tina Rodriguez PhD</t>
  </si>
  <si>
    <t>Shirley Spencer</t>
  </si>
  <si>
    <t>Daniel Livingston</t>
  </si>
  <si>
    <t>Stephen Wright</t>
  </si>
  <si>
    <t>James Leblanc</t>
  </si>
  <si>
    <t>John Dawson</t>
  </si>
  <si>
    <t>Sharon Miller</t>
  </si>
  <si>
    <t>Rhonda Nichols</t>
  </si>
  <si>
    <t>William Mclaughlin</t>
  </si>
  <si>
    <t>Melissa Edwards</t>
  </si>
  <si>
    <t>Joshua Shaw</t>
  </si>
  <si>
    <t>Yolanda Tucker</t>
  </si>
  <si>
    <t>Sarah Anderson</t>
  </si>
  <si>
    <t>Meagan Larson</t>
  </si>
  <si>
    <t>Kelly Huffman</t>
  </si>
  <si>
    <t>Sarah Rivas</t>
  </si>
  <si>
    <t>Erica Mills</t>
  </si>
  <si>
    <t>Theodore Oliver</t>
  </si>
  <si>
    <t>Linda Mitchell</t>
  </si>
  <si>
    <t>Jason Harrington</t>
  </si>
  <si>
    <t>Kim Salas DDS</t>
  </si>
  <si>
    <t>Patrick Cantu</t>
  </si>
  <si>
    <t>Brenda Evans</t>
  </si>
  <si>
    <t>Christopher Burch</t>
  </si>
  <si>
    <t>Stephanie Beard</t>
  </si>
  <si>
    <t>James Boyer</t>
  </si>
  <si>
    <t>Julie Rhodes</t>
  </si>
  <si>
    <t>Jennifer Howard</t>
  </si>
  <si>
    <t>Anthony Rodriguez</t>
  </si>
  <si>
    <t>Alexander Rodgers</t>
  </si>
  <si>
    <t>Joshua Riley</t>
  </si>
  <si>
    <t>Dennis Lynch</t>
  </si>
  <si>
    <t>Amanda Rivera</t>
  </si>
  <si>
    <t>Mark Miller</t>
  </si>
  <si>
    <t>Cindy Rivas</t>
  </si>
  <si>
    <t>Kenneth Holden</t>
  </si>
  <si>
    <t>Veronica Beard</t>
  </si>
  <si>
    <t>Jordan Perry</t>
  </si>
  <si>
    <t>Jaime Jacobs</t>
  </si>
  <si>
    <t>Brenda Hines</t>
  </si>
  <si>
    <t>Nancy Weber</t>
  </si>
  <si>
    <t>Angela Schneider</t>
  </si>
  <si>
    <t>Richard Osborne</t>
  </si>
  <si>
    <t>Autumn Garrett</t>
  </si>
  <si>
    <t>Patrick Webb</t>
  </si>
  <si>
    <t>Mrs. Amanda Bright MD</t>
  </si>
  <si>
    <t>Anthony Marshall</t>
  </si>
  <si>
    <t>Kevin Vaughn</t>
  </si>
  <si>
    <t>Dawn Hicks</t>
  </si>
  <si>
    <t>Jeffrey Norris</t>
  </si>
  <si>
    <t>Antonio Ruiz</t>
  </si>
  <si>
    <t>Sarah Mason</t>
  </si>
  <si>
    <t>Nicholas Lee</t>
  </si>
  <si>
    <t>Dr. Edward Hebert</t>
  </si>
  <si>
    <t>Sara Huffman</t>
  </si>
  <si>
    <t>Ashley Rodriguez</t>
  </si>
  <si>
    <t>Jennifer Ramirez</t>
  </si>
  <si>
    <t>Amanda Richardson</t>
  </si>
  <si>
    <t>Jake Bryan</t>
  </si>
  <si>
    <t>James Barron</t>
  </si>
  <si>
    <t>Carmen Rosales</t>
  </si>
  <si>
    <t>Joseph Medina</t>
  </si>
  <si>
    <t>Nancy Mcmahon</t>
  </si>
  <si>
    <t>Lindsey Vargas</t>
  </si>
  <si>
    <t>Rhonda Nguyen</t>
  </si>
  <si>
    <t>Charles Martin</t>
  </si>
  <si>
    <t>Christina Curtis</t>
  </si>
  <si>
    <t>Mary Jones</t>
  </si>
  <si>
    <t>Christopher Miller</t>
  </si>
  <si>
    <t>Brian Brown</t>
  </si>
  <si>
    <t>Amanda Mason</t>
  </si>
  <si>
    <t>Jordan Rodgers</t>
  </si>
  <si>
    <t>Jessica Watson</t>
  </si>
  <si>
    <t>Edward Thornton</t>
  </si>
  <si>
    <t>Randy Gutierrez</t>
  </si>
  <si>
    <t>Victoria Cole</t>
  </si>
  <si>
    <t>Tracy Chavez</t>
  </si>
  <si>
    <t>Kimberly Gregory</t>
  </si>
  <si>
    <t>William Webb</t>
  </si>
  <si>
    <t>Donna Peterson</t>
  </si>
  <si>
    <t>Jessica Long</t>
  </si>
  <si>
    <t>Jamie Williams</t>
  </si>
  <si>
    <t>Guy Shepard</t>
  </si>
  <si>
    <t>Karen Mcbride</t>
  </si>
  <si>
    <t>Jeffery House</t>
  </si>
  <si>
    <t>Natalie Skinner</t>
  </si>
  <si>
    <t>Devin James</t>
  </si>
  <si>
    <t>Tami Warner</t>
  </si>
  <si>
    <t>Mrs. Carol Chambers</t>
  </si>
  <si>
    <t>Traci Reyes</t>
  </si>
  <si>
    <t>Rhonda Robertson</t>
  </si>
  <si>
    <t>Tracy Wood</t>
  </si>
  <si>
    <t>Shannon Stewart</t>
  </si>
  <si>
    <t>Juan Malone</t>
  </si>
  <si>
    <t>Kristin Chapman</t>
  </si>
  <si>
    <t>Ann Adams</t>
  </si>
  <si>
    <t>Jesus Coleman</t>
  </si>
  <si>
    <t>Shawn Burke</t>
  </si>
  <si>
    <t>Ruth Strong</t>
  </si>
  <si>
    <t>Michael Warren</t>
  </si>
  <si>
    <t>Raymond Chavez</t>
  </si>
  <si>
    <t>Scott Peterson</t>
  </si>
  <si>
    <t>Frank Reid</t>
  </si>
  <si>
    <t>Shawna Webb</t>
  </si>
  <si>
    <t>Gregory Murphy</t>
  </si>
  <si>
    <t>Timothy Greene</t>
  </si>
  <si>
    <t>Kimberly Brady</t>
  </si>
  <si>
    <t>Mary Fowler</t>
  </si>
  <si>
    <t>Alexander Bradshaw</t>
  </si>
  <si>
    <t>Jonathan Baird</t>
  </si>
  <si>
    <t>Rebecca Baker</t>
  </si>
  <si>
    <t>Jennifer Sanchez</t>
  </si>
  <si>
    <t>Rebecca Castaneda</t>
  </si>
  <si>
    <t>Darren Scott</t>
  </si>
  <si>
    <t>Nicole Hall</t>
  </si>
  <si>
    <t>Gary Wade</t>
  </si>
  <si>
    <t>Kristen Wood</t>
  </si>
  <si>
    <t>Sean Valenzuela</t>
  </si>
  <si>
    <t>James Smith</t>
  </si>
  <si>
    <t>Marcus Adams</t>
  </si>
  <si>
    <t>Melissa Torres</t>
  </si>
  <si>
    <t>Robert Wade</t>
  </si>
  <si>
    <t>Benjamin White</t>
  </si>
  <si>
    <t>James Jacobs</t>
  </si>
  <si>
    <t>Kristin Underwood</t>
  </si>
  <si>
    <t>David Moore</t>
  </si>
  <si>
    <t>Francisco Lester</t>
  </si>
  <si>
    <t>Nicholas Jennings</t>
  </si>
  <si>
    <t>Andrew Hawkins</t>
  </si>
  <si>
    <t>Jonathan Potter</t>
  </si>
  <si>
    <t>Shelly Dominguez</t>
  </si>
  <si>
    <t>Destiny Johnson</t>
  </si>
  <si>
    <t>Catherine Case</t>
  </si>
  <si>
    <t>Dennis Wolfe</t>
  </si>
  <si>
    <t>Gregory Bates</t>
  </si>
  <si>
    <t>LabID</t>
  </si>
  <si>
    <t>TestName</t>
  </si>
  <si>
    <t>Result</t>
  </si>
  <si>
    <t>NormalRange</t>
  </si>
  <si>
    <t>Blood Pressure</t>
  </si>
  <si>
    <t>150-200</t>
  </si>
  <si>
    <t>Cholesterol</t>
  </si>
  <si>
    <t>13-17</t>
  </si>
  <si>
    <t>0.6-1.2</t>
  </si>
  <si>
    <t>Blood Sugar</t>
  </si>
  <si>
    <t>120/80</t>
  </si>
  <si>
    <t>Creatinine</t>
  </si>
  <si>
    <t>Hemoglobin</t>
  </si>
  <si>
    <t>20-50</t>
  </si>
  <si>
    <t>Vitamin D</t>
  </si>
  <si>
    <t>70-120</t>
  </si>
  <si>
    <t>Recovered</t>
  </si>
  <si>
    <t>Complicated</t>
  </si>
  <si>
    <t>Deceased</t>
  </si>
  <si>
    <t>Hypertension</t>
  </si>
  <si>
    <t>Diabetes</t>
  </si>
  <si>
    <t>Heart Disease</t>
  </si>
  <si>
    <t>Asthma</t>
  </si>
  <si>
    <t>Stroke</t>
  </si>
  <si>
    <t>COPD</t>
  </si>
  <si>
    <t>Cancer</t>
  </si>
  <si>
    <t>Arthritis</t>
  </si>
  <si>
    <t>Kidney Disease</t>
  </si>
  <si>
    <t>Liver Disease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</si>
</sst>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1"/>
  <sheetViews>
    <sheetView tabSelected="1" zoomScaleSheetLayoutView="60" workbookViewId="0">
      <selection activeCell="M2" sqref="M2"/>
    </sheetView>
  </sheetViews>
  <sheetFormatPr defaultColWidth="10" defaultRowHeight="14.4"/>
  <cols>
    <col min="1" max="1" width="9.22222222222222" customWidth="1"/>
    <col min="2" max="2" width="22.4444444444444" customWidth="1"/>
    <col min="3" max="3" width="4.66666666666667" customWidth="1"/>
    <col min="4" max="4" width="7.55555555555556" customWidth="1"/>
    <col min="5" max="5" width="11.2222222222222" customWidth="1"/>
    <col min="6" max="6" width="14.2222222222222" customWidth="1"/>
    <col min="7" max="7" width="13.8888888888889" customWidth="1"/>
    <col min="8" max="8" width="11.1111111111111" customWidth="1"/>
    <col min="9" max="9" width="14.4444444444444" customWidth="1"/>
    <col min="10" max="10" width="14.7777777777778" customWidth="1"/>
    <col min="11" max="11" width="14.6666666666667" customWidth="1"/>
    <col min="12" max="12" width="12.8888888888889" customWidth="1"/>
    <col min="13" max="13" width="19.8888888888889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>
        <v>68</v>
      </c>
      <c r="D2" t="s">
        <v>15</v>
      </c>
      <c r="E2">
        <v>2</v>
      </c>
      <c r="F2" s="1">
        <v>45738</v>
      </c>
      <c r="G2" s="1">
        <v>45751</v>
      </c>
      <c r="H2">
        <v>1</v>
      </c>
      <c r="I2">
        <v>4443</v>
      </c>
      <c r="J2" t="str">
        <f>VLOOKUP(E2,diagnoses!A$2:B$11,2,FALSE)</f>
        <v>Diabetes</v>
      </c>
      <c r="K2" t="str">
        <f>VLOOKUP(H2,outcomes!A$2:B$4,2,0)</f>
        <v>Recovered</v>
      </c>
      <c r="L2">
        <f>DATEDIF(F2,G2,"D")</f>
        <v>13</v>
      </c>
      <c r="M2" t="str">
        <f>IF(labs!C2="Blood Sugar",IF(labs!D2&gt;120,"High","Low"),"No Blood Sugar")</f>
        <v>No Blood Sugar</v>
      </c>
      <c r="N2" t="str">
        <f>IF(OR(C2&gt;65,H2&gt;1),"High Risk","Low Risk")</f>
        <v>High Risk</v>
      </c>
    </row>
    <row r="3" spans="1:14">
      <c r="A3">
        <v>2</v>
      </c>
      <c r="B3" t="s">
        <v>16</v>
      </c>
      <c r="C3">
        <v>81</v>
      </c>
      <c r="D3" t="s">
        <v>15</v>
      </c>
      <c r="E3">
        <v>2</v>
      </c>
      <c r="F3" s="1">
        <v>45747</v>
      </c>
      <c r="G3" s="1">
        <v>45749</v>
      </c>
      <c r="H3">
        <v>2</v>
      </c>
      <c r="I3">
        <v>4265</v>
      </c>
      <c r="J3" t="str">
        <f>VLOOKUP(E3,diagnoses!A$2:B$11,2,FALSE)</f>
        <v>Diabetes</v>
      </c>
      <c r="K3" t="str">
        <f>VLOOKUP(H3,outcomes!A$2:B$4,2,0)</f>
        <v>Complicated</v>
      </c>
      <c r="L3">
        <f t="shared" ref="L3:L34" si="0">DATEDIF(F3,G3,"D")</f>
        <v>2</v>
      </c>
      <c r="M3" t="str">
        <f>IF(labs!C3="Blood Sugar",IF(labs!D3&gt;120,"High","Low"),"No Blood Sugar")</f>
        <v>No Blood Sugar</v>
      </c>
      <c r="N3" t="str">
        <f t="shared" ref="N3:N34" si="1">IF(OR(C3&gt;65,H3&gt;1),"High Risk","Low Risk")</f>
        <v>High Risk</v>
      </c>
    </row>
    <row r="4" spans="1:14">
      <c r="A4">
        <v>3</v>
      </c>
      <c r="B4" t="s">
        <v>17</v>
      </c>
      <c r="C4">
        <v>58</v>
      </c>
      <c r="D4" t="s">
        <v>15</v>
      </c>
      <c r="E4">
        <v>6</v>
      </c>
      <c r="F4" s="1">
        <v>45665</v>
      </c>
      <c r="G4" s="1">
        <v>45729</v>
      </c>
      <c r="H4">
        <v>1</v>
      </c>
      <c r="I4">
        <v>4188</v>
      </c>
      <c r="J4" t="str">
        <f>VLOOKUP(E4,diagnoses!A$2:B$11,2,FALSE)</f>
        <v>COPD</v>
      </c>
      <c r="K4" t="str">
        <f>VLOOKUP(H4,outcomes!A$2:B$4,2,0)</f>
        <v>Recovered</v>
      </c>
      <c r="L4">
        <f t="shared" si="0"/>
        <v>64</v>
      </c>
      <c r="M4" t="str">
        <f>IF(labs!C4="Blood Sugar",IF(labs!D4&gt;120,"High","Low"),"No Blood Sugar")</f>
        <v>No Blood Sugar</v>
      </c>
      <c r="N4" t="str">
        <f t="shared" si="1"/>
        <v>Low Risk</v>
      </c>
    </row>
    <row r="5" spans="1:14">
      <c r="A5">
        <v>4</v>
      </c>
      <c r="B5" t="s">
        <v>18</v>
      </c>
      <c r="C5">
        <v>44</v>
      </c>
      <c r="D5" t="s">
        <v>19</v>
      </c>
      <c r="E5">
        <v>3</v>
      </c>
      <c r="F5" s="1">
        <v>45750</v>
      </c>
      <c r="G5" s="1">
        <v>45752</v>
      </c>
      <c r="H5">
        <v>1</v>
      </c>
      <c r="I5">
        <v>9783</v>
      </c>
      <c r="J5" t="str">
        <f>VLOOKUP(E5,diagnoses!A$2:B$11,2,FALSE)</f>
        <v>Heart Disease</v>
      </c>
      <c r="K5" t="str">
        <f>VLOOKUP(H5,outcomes!A$2:B$4,2,0)</f>
        <v>Recovered</v>
      </c>
      <c r="L5">
        <f t="shared" si="0"/>
        <v>2</v>
      </c>
      <c r="M5" t="str">
        <f>IF(labs!C5="Blood Sugar",IF(labs!D5&gt;120,"High","Low"),"No Blood Sugar")</f>
        <v>No Blood Sugar</v>
      </c>
      <c r="N5" t="str">
        <f t="shared" si="1"/>
        <v>Low Risk</v>
      </c>
    </row>
    <row r="6" spans="1:14">
      <c r="A6">
        <v>5</v>
      </c>
      <c r="B6" t="s">
        <v>20</v>
      </c>
      <c r="C6">
        <v>72</v>
      </c>
      <c r="D6" t="s">
        <v>19</v>
      </c>
      <c r="E6">
        <v>9</v>
      </c>
      <c r="F6" s="1">
        <v>45811</v>
      </c>
      <c r="G6" s="1">
        <v>45812</v>
      </c>
      <c r="H6">
        <v>1</v>
      </c>
      <c r="I6">
        <v>5005</v>
      </c>
      <c r="J6" t="str">
        <f>VLOOKUP(E6,diagnoses!A$2:B$11,2,FALSE)</f>
        <v>Kidney Disease</v>
      </c>
      <c r="K6" t="str">
        <f>VLOOKUP(H6,outcomes!A$2:B$4,2,0)</f>
        <v>Recovered</v>
      </c>
      <c r="L6">
        <f t="shared" si="0"/>
        <v>1</v>
      </c>
      <c r="M6" t="str">
        <f>IF(labs!C6="Blood Sugar",IF(labs!D6&gt;120,"High","Low"),"No Blood Sugar")</f>
        <v>High</v>
      </c>
      <c r="N6" t="str">
        <f t="shared" si="1"/>
        <v>High Risk</v>
      </c>
    </row>
    <row r="7" spans="1:14">
      <c r="A7">
        <v>6</v>
      </c>
      <c r="B7" t="s">
        <v>21</v>
      </c>
      <c r="C7">
        <v>37</v>
      </c>
      <c r="D7" t="s">
        <v>19</v>
      </c>
      <c r="E7">
        <v>4</v>
      </c>
      <c r="F7" s="1">
        <v>45747</v>
      </c>
      <c r="G7" s="1">
        <v>45752</v>
      </c>
      <c r="H7">
        <v>1</v>
      </c>
      <c r="I7">
        <v>5281</v>
      </c>
      <c r="J7" t="str">
        <f>VLOOKUP(E7,diagnoses!A$2:B$11,2,FALSE)</f>
        <v>Asthma</v>
      </c>
      <c r="K7" t="str">
        <f>VLOOKUP(H7,outcomes!A$2:B$4,2,0)</f>
        <v>Recovered</v>
      </c>
      <c r="L7">
        <f t="shared" si="0"/>
        <v>5</v>
      </c>
      <c r="M7" t="str">
        <f>IF(labs!C7="Blood Sugar",IF(labs!D7&gt;120,"High","Low"),"No Blood Sugar")</f>
        <v>No Blood Sugar</v>
      </c>
      <c r="N7" t="str">
        <f t="shared" si="1"/>
        <v>Low Risk</v>
      </c>
    </row>
    <row r="8" spans="1:14">
      <c r="A8">
        <v>7</v>
      </c>
      <c r="B8" t="s">
        <v>22</v>
      </c>
      <c r="C8">
        <v>50</v>
      </c>
      <c r="D8" t="s">
        <v>19</v>
      </c>
      <c r="E8">
        <v>1</v>
      </c>
      <c r="F8" s="1">
        <v>45819</v>
      </c>
      <c r="G8" s="1">
        <v>45843</v>
      </c>
      <c r="H8">
        <v>2</v>
      </c>
      <c r="I8">
        <v>2984</v>
      </c>
      <c r="J8" t="str">
        <f>VLOOKUP(E8,diagnoses!A$2:B$11,2,FALSE)</f>
        <v>Hypertension</v>
      </c>
      <c r="K8" t="str">
        <f>VLOOKUP(H8,outcomes!A$2:B$4,2,0)</f>
        <v>Complicated</v>
      </c>
      <c r="L8">
        <f t="shared" si="0"/>
        <v>24</v>
      </c>
      <c r="M8" t="str">
        <f>IF(labs!C8="Blood Sugar",IF(labs!D8&gt;120,"High","Low"),"No Blood Sugar")</f>
        <v>No Blood Sugar</v>
      </c>
      <c r="N8" t="str">
        <f t="shared" si="1"/>
        <v>High Risk</v>
      </c>
    </row>
    <row r="9" spans="1:14">
      <c r="A9">
        <v>8</v>
      </c>
      <c r="B9" t="s">
        <v>23</v>
      </c>
      <c r="C9">
        <v>68</v>
      </c>
      <c r="D9" t="s">
        <v>15</v>
      </c>
      <c r="E9">
        <v>4</v>
      </c>
      <c r="F9" s="1">
        <v>45772</v>
      </c>
      <c r="G9" s="1">
        <v>45827</v>
      </c>
      <c r="H9">
        <v>1</v>
      </c>
      <c r="I9">
        <v>9136</v>
      </c>
      <c r="J9" t="str">
        <f>VLOOKUP(E9,diagnoses!A$2:B$11,2,FALSE)</f>
        <v>Asthma</v>
      </c>
      <c r="K9" t="str">
        <f>VLOOKUP(H9,outcomes!A$2:B$4,2,0)</f>
        <v>Recovered</v>
      </c>
      <c r="L9">
        <f t="shared" si="0"/>
        <v>55</v>
      </c>
      <c r="M9" t="str">
        <f>IF(labs!C9="Blood Sugar",IF(labs!D9&gt;120,"High","Low"),"No Blood Sugar")</f>
        <v>No Blood Sugar</v>
      </c>
      <c r="N9" t="str">
        <f t="shared" si="1"/>
        <v>High Risk</v>
      </c>
    </row>
    <row r="10" spans="1:14">
      <c r="A10">
        <v>9</v>
      </c>
      <c r="B10" t="s">
        <v>24</v>
      </c>
      <c r="C10">
        <v>87</v>
      </c>
      <c r="D10" t="s">
        <v>19</v>
      </c>
      <c r="E10">
        <v>1</v>
      </c>
      <c r="F10" s="1">
        <v>45762</v>
      </c>
      <c r="G10" s="1">
        <v>45764</v>
      </c>
      <c r="H10">
        <v>2</v>
      </c>
      <c r="I10">
        <v>9790</v>
      </c>
      <c r="J10" t="str">
        <f>VLOOKUP(E10,diagnoses!A$2:B$11,2,FALSE)</f>
        <v>Hypertension</v>
      </c>
      <c r="K10" t="str">
        <f>VLOOKUP(H10,outcomes!A$2:B$4,2,0)</f>
        <v>Complicated</v>
      </c>
      <c r="L10">
        <f t="shared" si="0"/>
        <v>2</v>
      </c>
      <c r="M10" t="str">
        <f>IF(labs!C10="Blood Sugar",IF(labs!D10&gt;120,"High","Low"),"No Blood Sugar")</f>
        <v>No Blood Sugar</v>
      </c>
      <c r="N10" t="str">
        <f t="shared" si="1"/>
        <v>High Risk</v>
      </c>
    </row>
    <row r="11" spans="1:14">
      <c r="A11">
        <v>10</v>
      </c>
      <c r="B11" t="s">
        <v>25</v>
      </c>
      <c r="C11">
        <v>48</v>
      </c>
      <c r="D11" t="s">
        <v>15</v>
      </c>
      <c r="E11">
        <v>5</v>
      </c>
      <c r="F11" s="1">
        <v>45792</v>
      </c>
      <c r="G11" s="1">
        <v>45796</v>
      </c>
      <c r="H11">
        <v>2</v>
      </c>
      <c r="I11">
        <v>3639</v>
      </c>
      <c r="J11" t="str">
        <f>VLOOKUP(E11,diagnoses!A$2:B$11,2,FALSE)</f>
        <v>Stroke</v>
      </c>
      <c r="K11" t="str">
        <f>VLOOKUP(H11,outcomes!A$2:B$4,2,0)</f>
        <v>Complicated</v>
      </c>
      <c r="L11">
        <f t="shared" si="0"/>
        <v>4</v>
      </c>
      <c r="M11" t="str">
        <f>IF(labs!C11="Blood Sugar",IF(labs!D11&gt;120,"High","Low"),"No Blood Sugar")</f>
        <v>No Blood Sugar</v>
      </c>
      <c r="N11" t="str">
        <f t="shared" si="1"/>
        <v>High Risk</v>
      </c>
    </row>
    <row r="12" spans="1:14">
      <c r="A12">
        <v>11</v>
      </c>
      <c r="B12" t="s">
        <v>26</v>
      </c>
      <c r="C12">
        <v>52</v>
      </c>
      <c r="D12" t="s">
        <v>15</v>
      </c>
      <c r="E12">
        <v>4</v>
      </c>
      <c r="F12" s="1">
        <v>45715</v>
      </c>
      <c r="G12" s="1">
        <v>45765</v>
      </c>
      <c r="H12">
        <v>3</v>
      </c>
      <c r="I12">
        <v>2827</v>
      </c>
      <c r="J12" t="str">
        <f>VLOOKUP(E12,diagnoses!A$2:B$11,2,FALSE)</f>
        <v>Asthma</v>
      </c>
      <c r="K12" t="str">
        <f>VLOOKUP(H12,outcomes!A$2:B$4,2,0)</f>
        <v>Deceased</v>
      </c>
      <c r="L12">
        <f t="shared" si="0"/>
        <v>50</v>
      </c>
      <c r="M12" t="str">
        <f>IF(labs!C12="Blood Sugar",IF(labs!D12&gt;120,"High","Low"),"No Blood Sugar")</f>
        <v>No Blood Sugar</v>
      </c>
      <c r="N12" t="str">
        <f t="shared" si="1"/>
        <v>High Risk</v>
      </c>
    </row>
    <row r="13" spans="1:14">
      <c r="A13">
        <v>12</v>
      </c>
      <c r="B13" t="s">
        <v>27</v>
      </c>
      <c r="C13">
        <v>40</v>
      </c>
      <c r="D13" t="s">
        <v>19</v>
      </c>
      <c r="E13">
        <v>8</v>
      </c>
      <c r="F13" s="1">
        <v>45771</v>
      </c>
      <c r="G13" s="1">
        <v>45795</v>
      </c>
      <c r="H13">
        <v>2</v>
      </c>
      <c r="I13">
        <v>4730</v>
      </c>
      <c r="J13" t="str">
        <f>VLOOKUP(E13,diagnoses!A$2:B$11,2,FALSE)</f>
        <v>Arthritis</v>
      </c>
      <c r="K13" t="str">
        <f>VLOOKUP(H13,outcomes!A$2:B$4,2,0)</f>
        <v>Complicated</v>
      </c>
      <c r="L13">
        <f t="shared" si="0"/>
        <v>24</v>
      </c>
      <c r="M13" t="str">
        <f>IF(labs!C13="Blood Sugar",IF(labs!D13&gt;120,"High","Low"),"No Blood Sugar")</f>
        <v>No Blood Sugar</v>
      </c>
      <c r="N13" t="str">
        <f t="shared" si="1"/>
        <v>High Risk</v>
      </c>
    </row>
    <row r="14" spans="1:14">
      <c r="A14">
        <v>13</v>
      </c>
      <c r="B14" t="s">
        <v>28</v>
      </c>
      <c r="C14">
        <v>40</v>
      </c>
      <c r="D14" t="s">
        <v>19</v>
      </c>
      <c r="E14">
        <v>8</v>
      </c>
      <c r="F14" s="1">
        <v>45732</v>
      </c>
      <c r="G14" s="1">
        <v>45815</v>
      </c>
      <c r="H14">
        <v>3</v>
      </c>
      <c r="I14">
        <v>5531</v>
      </c>
      <c r="J14" t="str">
        <f>VLOOKUP(E14,diagnoses!A$2:B$11,2,FALSE)</f>
        <v>Arthritis</v>
      </c>
      <c r="K14" t="str">
        <f>VLOOKUP(H14,outcomes!A$2:B$4,2,0)</f>
        <v>Deceased</v>
      </c>
      <c r="L14">
        <f t="shared" si="0"/>
        <v>83</v>
      </c>
      <c r="M14" t="str">
        <f>IF(labs!C14="Blood Sugar",IF(labs!D14&gt;120,"High","Low"),"No Blood Sugar")</f>
        <v>No Blood Sugar</v>
      </c>
      <c r="N14" t="str">
        <f t="shared" si="1"/>
        <v>High Risk</v>
      </c>
    </row>
    <row r="15" spans="1:14">
      <c r="A15">
        <v>14</v>
      </c>
      <c r="B15" t="s">
        <v>29</v>
      </c>
      <c r="C15">
        <v>53</v>
      </c>
      <c r="D15" t="s">
        <v>19</v>
      </c>
      <c r="E15">
        <v>7</v>
      </c>
      <c r="F15" s="1">
        <v>45814</v>
      </c>
      <c r="G15" s="1">
        <v>45818</v>
      </c>
      <c r="H15">
        <v>2</v>
      </c>
      <c r="I15">
        <v>9147</v>
      </c>
      <c r="J15" t="str">
        <f>VLOOKUP(E15,diagnoses!A$2:B$11,2,FALSE)</f>
        <v>Cancer</v>
      </c>
      <c r="K15" t="str">
        <f>VLOOKUP(H15,outcomes!A$2:B$4,2,0)</f>
        <v>Complicated</v>
      </c>
      <c r="L15">
        <f t="shared" si="0"/>
        <v>4</v>
      </c>
      <c r="M15" t="str">
        <f>IF(labs!C15="Blood Sugar",IF(labs!D15&gt;120,"High","Low"),"No Blood Sugar")</f>
        <v>No Blood Sugar</v>
      </c>
      <c r="N15" t="str">
        <f t="shared" si="1"/>
        <v>High Risk</v>
      </c>
    </row>
    <row r="16" spans="1:14">
      <c r="A16">
        <v>15</v>
      </c>
      <c r="B16" t="s">
        <v>30</v>
      </c>
      <c r="C16">
        <v>82</v>
      </c>
      <c r="D16" t="s">
        <v>19</v>
      </c>
      <c r="E16">
        <v>3</v>
      </c>
      <c r="F16" s="1">
        <v>45777</v>
      </c>
      <c r="G16" s="1">
        <v>45780</v>
      </c>
      <c r="H16">
        <v>2</v>
      </c>
      <c r="I16">
        <v>6451</v>
      </c>
      <c r="J16" t="str">
        <f>VLOOKUP(E16,diagnoses!A$2:B$11,2,FALSE)</f>
        <v>Heart Disease</v>
      </c>
      <c r="K16" t="str">
        <f>VLOOKUP(H16,outcomes!A$2:B$4,2,0)</f>
        <v>Complicated</v>
      </c>
      <c r="L16">
        <f t="shared" si="0"/>
        <v>3</v>
      </c>
      <c r="M16" t="str">
        <f>IF(labs!C16="Blood Sugar",IF(labs!D16&gt;120,"High","Low"),"No Blood Sugar")</f>
        <v>No Blood Sugar</v>
      </c>
      <c r="N16" t="str">
        <f t="shared" si="1"/>
        <v>High Risk</v>
      </c>
    </row>
    <row r="17" spans="1:14">
      <c r="A17">
        <v>16</v>
      </c>
      <c r="B17" t="s">
        <v>31</v>
      </c>
      <c r="C17">
        <v>65</v>
      </c>
      <c r="D17" t="s">
        <v>19</v>
      </c>
      <c r="E17">
        <v>1</v>
      </c>
      <c r="F17" s="1">
        <v>45821</v>
      </c>
      <c r="G17" s="1">
        <v>45823</v>
      </c>
      <c r="H17">
        <v>2</v>
      </c>
      <c r="I17">
        <v>9151</v>
      </c>
      <c r="J17" t="str">
        <f>VLOOKUP(E17,diagnoses!A$2:B$11,2,FALSE)</f>
        <v>Hypertension</v>
      </c>
      <c r="K17" t="str">
        <f>VLOOKUP(H17,outcomes!A$2:B$4,2,0)</f>
        <v>Complicated</v>
      </c>
      <c r="L17">
        <f t="shared" si="0"/>
        <v>2</v>
      </c>
      <c r="M17" t="str">
        <f>IF(labs!C17="Blood Sugar",IF(labs!D17&gt;120,"High","Low"),"No Blood Sugar")</f>
        <v>No Blood Sugar</v>
      </c>
      <c r="N17" t="str">
        <f t="shared" si="1"/>
        <v>High Risk</v>
      </c>
    </row>
    <row r="18" spans="1:14">
      <c r="A18">
        <v>17</v>
      </c>
      <c r="B18" t="s">
        <v>32</v>
      </c>
      <c r="C18">
        <v>69</v>
      </c>
      <c r="D18" t="s">
        <v>19</v>
      </c>
      <c r="E18">
        <v>1</v>
      </c>
      <c r="F18" s="1">
        <v>45678</v>
      </c>
      <c r="G18" s="1">
        <v>45799</v>
      </c>
      <c r="H18">
        <v>3</v>
      </c>
      <c r="I18">
        <v>7443</v>
      </c>
      <c r="J18" t="str">
        <f>VLOOKUP(E18,diagnoses!A$2:B$11,2,FALSE)</f>
        <v>Hypertension</v>
      </c>
      <c r="K18" t="str">
        <f>VLOOKUP(H18,outcomes!A$2:B$4,2,0)</f>
        <v>Deceased</v>
      </c>
      <c r="L18">
        <f t="shared" si="0"/>
        <v>121</v>
      </c>
      <c r="M18" t="str">
        <f>IF(labs!C18="Blood Sugar",IF(labs!D18&gt;120,"High","Low"),"No Blood Sugar")</f>
        <v>High</v>
      </c>
      <c r="N18" t="str">
        <f t="shared" si="1"/>
        <v>High Risk</v>
      </c>
    </row>
    <row r="19" spans="1:14">
      <c r="A19">
        <v>18</v>
      </c>
      <c r="B19" t="s">
        <v>33</v>
      </c>
      <c r="C19">
        <v>53</v>
      </c>
      <c r="D19" t="s">
        <v>19</v>
      </c>
      <c r="E19">
        <v>3</v>
      </c>
      <c r="F19" s="1">
        <v>45821</v>
      </c>
      <c r="G19" s="1">
        <v>45830</v>
      </c>
      <c r="H19">
        <v>3</v>
      </c>
      <c r="I19">
        <v>9300</v>
      </c>
      <c r="J19" t="str">
        <f>VLOOKUP(E19,diagnoses!A$2:B$11,2,FALSE)</f>
        <v>Heart Disease</v>
      </c>
      <c r="K19" t="str">
        <f>VLOOKUP(H19,outcomes!A$2:B$4,2,0)</f>
        <v>Deceased</v>
      </c>
      <c r="L19">
        <f t="shared" si="0"/>
        <v>9</v>
      </c>
      <c r="M19" t="str">
        <f>IF(labs!C19="Blood Sugar",IF(labs!D19&gt;120,"High","Low"),"No Blood Sugar")</f>
        <v>No Blood Sugar</v>
      </c>
      <c r="N19" t="str">
        <f t="shared" si="1"/>
        <v>High Risk</v>
      </c>
    </row>
    <row r="20" spans="1:14">
      <c r="A20">
        <v>19</v>
      </c>
      <c r="B20" t="s">
        <v>34</v>
      </c>
      <c r="C20">
        <v>32</v>
      </c>
      <c r="D20" t="s">
        <v>19</v>
      </c>
      <c r="E20">
        <v>6</v>
      </c>
      <c r="F20" s="1">
        <v>45795</v>
      </c>
      <c r="G20" s="1">
        <v>45797</v>
      </c>
      <c r="H20">
        <v>1</v>
      </c>
      <c r="I20">
        <v>4935</v>
      </c>
      <c r="J20" t="str">
        <f>VLOOKUP(E20,diagnoses!A$2:B$11,2,FALSE)</f>
        <v>COPD</v>
      </c>
      <c r="K20" t="str">
        <f>VLOOKUP(H20,outcomes!A$2:B$4,2,0)</f>
        <v>Recovered</v>
      </c>
      <c r="L20">
        <f t="shared" si="0"/>
        <v>2</v>
      </c>
      <c r="M20" t="str">
        <f>IF(labs!C20="Blood Sugar",IF(labs!D20&gt;120,"High","Low"),"No Blood Sugar")</f>
        <v>No Blood Sugar</v>
      </c>
      <c r="N20" t="str">
        <f t="shared" si="1"/>
        <v>Low Risk</v>
      </c>
    </row>
    <row r="21" spans="1:14">
      <c r="A21">
        <v>20</v>
      </c>
      <c r="B21" t="s">
        <v>35</v>
      </c>
      <c r="C21">
        <v>51</v>
      </c>
      <c r="D21" t="s">
        <v>15</v>
      </c>
      <c r="E21">
        <v>7</v>
      </c>
      <c r="F21" s="1">
        <v>45758</v>
      </c>
      <c r="G21" s="1">
        <v>45847</v>
      </c>
      <c r="H21">
        <v>3</v>
      </c>
      <c r="I21">
        <v>5876</v>
      </c>
      <c r="J21" t="str">
        <f>VLOOKUP(E21,diagnoses!A$2:B$11,2,FALSE)</f>
        <v>Cancer</v>
      </c>
      <c r="K21" t="str">
        <f>VLOOKUP(H21,outcomes!A$2:B$4,2,0)</f>
        <v>Deceased</v>
      </c>
      <c r="L21">
        <f t="shared" si="0"/>
        <v>89</v>
      </c>
      <c r="M21" t="str">
        <f>IF(labs!C21="Blood Sugar",IF(labs!D21&gt;120,"High","Low"),"No Blood Sugar")</f>
        <v>No Blood Sugar</v>
      </c>
      <c r="N21" t="str">
        <f t="shared" si="1"/>
        <v>High Risk</v>
      </c>
    </row>
    <row r="22" spans="1:14">
      <c r="A22">
        <v>21</v>
      </c>
      <c r="B22" t="s">
        <v>36</v>
      </c>
      <c r="C22">
        <v>82</v>
      </c>
      <c r="D22" t="s">
        <v>19</v>
      </c>
      <c r="E22">
        <v>6</v>
      </c>
      <c r="F22" s="1">
        <v>45809</v>
      </c>
      <c r="G22" s="1">
        <v>45819</v>
      </c>
      <c r="H22">
        <v>3</v>
      </c>
      <c r="I22">
        <v>7959</v>
      </c>
      <c r="J22" t="str">
        <f>VLOOKUP(E22,diagnoses!A$2:B$11,2,FALSE)</f>
        <v>COPD</v>
      </c>
      <c r="K22" t="str">
        <f>VLOOKUP(H22,outcomes!A$2:B$4,2,0)</f>
        <v>Deceased</v>
      </c>
      <c r="L22">
        <f t="shared" si="0"/>
        <v>10</v>
      </c>
      <c r="M22" t="str">
        <f>IF(labs!C22="Blood Sugar",IF(labs!D22&gt;120,"High","Low"),"No Blood Sugar")</f>
        <v>High</v>
      </c>
      <c r="N22" t="str">
        <f t="shared" si="1"/>
        <v>High Risk</v>
      </c>
    </row>
    <row r="23" spans="1:14">
      <c r="A23">
        <v>22</v>
      </c>
      <c r="B23" t="s">
        <v>37</v>
      </c>
      <c r="C23">
        <v>31</v>
      </c>
      <c r="D23" t="s">
        <v>19</v>
      </c>
      <c r="E23">
        <v>6</v>
      </c>
      <c r="F23" s="1">
        <v>45834</v>
      </c>
      <c r="G23" s="1">
        <v>45841</v>
      </c>
      <c r="H23">
        <v>3</v>
      </c>
      <c r="I23">
        <v>2126</v>
      </c>
      <c r="J23" t="str">
        <f>VLOOKUP(E23,diagnoses!A$2:B$11,2,FALSE)</f>
        <v>COPD</v>
      </c>
      <c r="K23" t="str">
        <f>VLOOKUP(H23,outcomes!A$2:B$4,2,0)</f>
        <v>Deceased</v>
      </c>
      <c r="L23">
        <f t="shared" si="0"/>
        <v>7</v>
      </c>
      <c r="M23" t="str">
        <f>IF(labs!C23="Blood Sugar",IF(labs!D23&gt;120,"High","Low"),"No Blood Sugar")</f>
        <v>No Blood Sugar</v>
      </c>
      <c r="N23" t="str">
        <f t="shared" si="1"/>
        <v>High Risk</v>
      </c>
    </row>
    <row r="24" spans="1:14">
      <c r="A24">
        <v>23</v>
      </c>
      <c r="B24" t="s">
        <v>38</v>
      </c>
      <c r="C24">
        <v>53</v>
      </c>
      <c r="D24" t="s">
        <v>15</v>
      </c>
      <c r="E24">
        <v>6</v>
      </c>
      <c r="F24" s="1">
        <v>45756</v>
      </c>
      <c r="G24" s="1">
        <v>45831</v>
      </c>
      <c r="H24">
        <v>3</v>
      </c>
      <c r="I24">
        <v>5177</v>
      </c>
      <c r="J24" t="str">
        <f>VLOOKUP(E24,diagnoses!A$2:B$11,2,FALSE)</f>
        <v>COPD</v>
      </c>
      <c r="K24" t="str">
        <f>VLOOKUP(H24,outcomes!A$2:B$4,2,0)</f>
        <v>Deceased</v>
      </c>
      <c r="L24">
        <f t="shared" si="0"/>
        <v>75</v>
      </c>
      <c r="M24" t="str">
        <f>IF(labs!C24="Blood Sugar",IF(labs!D24&gt;120,"High","Low"),"No Blood Sugar")</f>
        <v>No Blood Sugar</v>
      </c>
      <c r="N24" t="str">
        <f t="shared" si="1"/>
        <v>High Risk</v>
      </c>
    </row>
    <row r="25" spans="1:14">
      <c r="A25">
        <v>24</v>
      </c>
      <c r="B25" t="s">
        <v>39</v>
      </c>
      <c r="C25">
        <v>73</v>
      </c>
      <c r="D25" t="s">
        <v>19</v>
      </c>
      <c r="E25">
        <v>3</v>
      </c>
      <c r="F25" s="1">
        <v>45693</v>
      </c>
      <c r="G25" s="1">
        <v>45749</v>
      </c>
      <c r="H25">
        <v>1</v>
      </c>
      <c r="I25">
        <v>5056</v>
      </c>
      <c r="J25" t="str">
        <f>VLOOKUP(E25,diagnoses!A$2:B$11,2,FALSE)</f>
        <v>Heart Disease</v>
      </c>
      <c r="K25" t="str">
        <f>VLOOKUP(H25,outcomes!A$2:B$4,2,0)</f>
        <v>Recovered</v>
      </c>
      <c r="L25">
        <f t="shared" si="0"/>
        <v>56</v>
      </c>
      <c r="M25" t="str">
        <f>IF(labs!C25="Blood Sugar",IF(labs!D25&gt;120,"High","Low"),"No Blood Sugar")</f>
        <v>High</v>
      </c>
      <c r="N25" t="str">
        <f t="shared" si="1"/>
        <v>High Risk</v>
      </c>
    </row>
    <row r="26" spans="1:14">
      <c r="A26">
        <v>25</v>
      </c>
      <c r="B26" t="s">
        <v>40</v>
      </c>
      <c r="C26">
        <v>59</v>
      </c>
      <c r="D26" t="s">
        <v>15</v>
      </c>
      <c r="E26">
        <v>6</v>
      </c>
      <c r="F26" s="1">
        <v>45753</v>
      </c>
      <c r="G26" s="1">
        <v>45811</v>
      </c>
      <c r="H26">
        <v>3</v>
      </c>
      <c r="I26">
        <v>2603</v>
      </c>
      <c r="J26" t="str">
        <f>VLOOKUP(E26,diagnoses!A$2:B$11,2,FALSE)</f>
        <v>COPD</v>
      </c>
      <c r="K26" t="str">
        <f>VLOOKUP(H26,outcomes!A$2:B$4,2,0)</f>
        <v>Deceased</v>
      </c>
      <c r="L26">
        <f t="shared" si="0"/>
        <v>58</v>
      </c>
      <c r="M26" t="str">
        <f>IF(labs!C26="Blood Sugar",IF(labs!D26&gt;120,"High","Low"),"No Blood Sugar")</f>
        <v>No Blood Sugar</v>
      </c>
      <c r="N26" t="str">
        <f t="shared" si="1"/>
        <v>High Risk</v>
      </c>
    </row>
    <row r="27" spans="1:14">
      <c r="A27">
        <v>26</v>
      </c>
      <c r="B27" t="s">
        <v>41</v>
      </c>
      <c r="C27">
        <v>67</v>
      </c>
      <c r="D27" t="s">
        <v>15</v>
      </c>
      <c r="E27">
        <v>8</v>
      </c>
      <c r="F27" s="1">
        <v>45809</v>
      </c>
      <c r="G27" s="1">
        <v>45810</v>
      </c>
      <c r="H27">
        <v>2</v>
      </c>
      <c r="I27">
        <v>9966</v>
      </c>
      <c r="J27" t="str">
        <f>VLOOKUP(E27,diagnoses!A$2:B$11,2,FALSE)</f>
        <v>Arthritis</v>
      </c>
      <c r="K27" t="str">
        <f>VLOOKUP(H27,outcomes!A$2:B$4,2,0)</f>
        <v>Complicated</v>
      </c>
      <c r="L27">
        <f t="shared" si="0"/>
        <v>1</v>
      </c>
      <c r="M27" t="str">
        <f>IF(labs!C27="Blood Sugar",IF(labs!D27&gt;120,"High","Low"),"No Blood Sugar")</f>
        <v>No Blood Sugar</v>
      </c>
      <c r="N27" t="str">
        <f t="shared" si="1"/>
        <v>High Risk</v>
      </c>
    </row>
    <row r="28" spans="1:14">
      <c r="A28">
        <v>27</v>
      </c>
      <c r="B28" t="s">
        <v>42</v>
      </c>
      <c r="C28">
        <v>31</v>
      </c>
      <c r="D28" t="s">
        <v>19</v>
      </c>
      <c r="E28">
        <v>2</v>
      </c>
      <c r="F28" s="1">
        <v>45808</v>
      </c>
      <c r="G28" s="1">
        <v>45809</v>
      </c>
      <c r="H28">
        <v>2</v>
      </c>
      <c r="I28">
        <v>5449</v>
      </c>
      <c r="J28" t="str">
        <f>VLOOKUP(E28,diagnoses!A$2:B$11,2,FALSE)</f>
        <v>Diabetes</v>
      </c>
      <c r="K28" t="str">
        <f>VLOOKUP(H28,outcomes!A$2:B$4,2,0)</f>
        <v>Complicated</v>
      </c>
      <c r="L28">
        <f t="shared" si="0"/>
        <v>1</v>
      </c>
      <c r="M28" t="str">
        <f>IF(labs!C28="Blood Sugar",IF(labs!D28&gt;120,"High","Low"),"No Blood Sugar")</f>
        <v>No Blood Sugar</v>
      </c>
      <c r="N28" t="str">
        <f t="shared" si="1"/>
        <v>High Risk</v>
      </c>
    </row>
    <row r="29" spans="1:14">
      <c r="A29">
        <v>28</v>
      </c>
      <c r="B29" t="s">
        <v>43</v>
      </c>
      <c r="C29">
        <v>89</v>
      </c>
      <c r="D29" t="s">
        <v>15</v>
      </c>
      <c r="E29">
        <v>5</v>
      </c>
      <c r="F29" s="1">
        <v>45694</v>
      </c>
      <c r="G29" s="1">
        <v>45776</v>
      </c>
      <c r="H29">
        <v>3</v>
      </c>
      <c r="I29">
        <v>8024</v>
      </c>
      <c r="J29" t="str">
        <f>VLOOKUP(E29,diagnoses!A$2:B$11,2,FALSE)</f>
        <v>Stroke</v>
      </c>
      <c r="K29" t="str">
        <f>VLOOKUP(H29,outcomes!A$2:B$4,2,0)</f>
        <v>Deceased</v>
      </c>
      <c r="L29">
        <f t="shared" si="0"/>
        <v>82</v>
      </c>
      <c r="M29" t="str">
        <f>IF(labs!C29="Blood Sugar",IF(labs!D29&gt;120,"High","Low"),"No Blood Sugar")</f>
        <v>No Blood Sugar</v>
      </c>
      <c r="N29" t="str">
        <f t="shared" si="1"/>
        <v>High Risk</v>
      </c>
    </row>
    <row r="30" spans="1:14">
      <c r="A30">
        <v>29</v>
      </c>
      <c r="B30" t="s">
        <v>44</v>
      </c>
      <c r="C30">
        <v>50</v>
      </c>
      <c r="D30" t="s">
        <v>15</v>
      </c>
      <c r="E30">
        <v>1</v>
      </c>
      <c r="F30" s="1">
        <v>45669</v>
      </c>
      <c r="G30" s="1">
        <v>45671</v>
      </c>
      <c r="H30">
        <v>3</v>
      </c>
      <c r="I30">
        <v>7109</v>
      </c>
      <c r="J30" t="str">
        <f>VLOOKUP(E30,diagnoses!A$2:B$11,2,FALSE)</f>
        <v>Hypertension</v>
      </c>
      <c r="K30" t="str">
        <f>VLOOKUP(H30,outcomes!A$2:B$4,2,0)</f>
        <v>Deceased</v>
      </c>
      <c r="L30">
        <f t="shared" si="0"/>
        <v>2</v>
      </c>
      <c r="M30" t="str">
        <f>IF(labs!C30="Blood Sugar",IF(labs!D30&gt;120,"High","Low"),"No Blood Sugar")</f>
        <v>No Blood Sugar</v>
      </c>
      <c r="N30" t="str">
        <f t="shared" si="1"/>
        <v>High Risk</v>
      </c>
    </row>
    <row r="31" spans="1:14">
      <c r="A31">
        <v>30</v>
      </c>
      <c r="B31" t="s">
        <v>45</v>
      </c>
      <c r="C31">
        <v>62</v>
      </c>
      <c r="D31" t="s">
        <v>15</v>
      </c>
      <c r="E31">
        <v>1</v>
      </c>
      <c r="F31" s="1">
        <v>45770</v>
      </c>
      <c r="G31" s="1">
        <v>45774</v>
      </c>
      <c r="H31">
        <v>2</v>
      </c>
      <c r="I31">
        <v>6146</v>
      </c>
      <c r="J31" t="str">
        <f>VLOOKUP(E31,diagnoses!A$2:B$11,2,FALSE)</f>
        <v>Hypertension</v>
      </c>
      <c r="K31" t="str">
        <f>VLOOKUP(H31,outcomes!A$2:B$4,2,0)</f>
        <v>Complicated</v>
      </c>
      <c r="L31">
        <f t="shared" si="0"/>
        <v>4</v>
      </c>
      <c r="M31" t="str">
        <f>IF(labs!C31="Blood Sugar",IF(labs!D31&gt;120,"High","Low"),"No Blood Sugar")</f>
        <v>No Blood Sugar</v>
      </c>
      <c r="N31" t="str">
        <f t="shared" si="1"/>
        <v>High Risk</v>
      </c>
    </row>
    <row r="32" spans="1:14">
      <c r="A32">
        <v>31</v>
      </c>
      <c r="B32" t="s">
        <v>46</v>
      </c>
      <c r="C32">
        <v>41</v>
      </c>
      <c r="D32" t="s">
        <v>15</v>
      </c>
      <c r="E32">
        <v>5</v>
      </c>
      <c r="F32" s="1">
        <v>45670</v>
      </c>
      <c r="G32" s="1">
        <v>45839</v>
      </c>
      <c r="H32">
        <v>2</v>
      </c>
      <c r="I32">
        <v>9196</v>
      </c>
      <c r="J32" t="str">
        <f>VLOOKUP(E32,diagnoses!A$2:B$11,2,FALSE)</f>
        <v>Stroke</v>
      </c>
      <c r="K32" t="str">
        <f>VLOOKUP(H32,outcomes!A$2:B$4,2,0)</f>
        <v>Complicated</v>
      </c>
      <c r="L32">
        <f t="shared" si="0"/>
        <v>169</v>
      </c>
      <c r="M32" t="str">
        <f>IF(labs!C32="Blood Sugar",IF(labs!D32&gt;120,"High","Low"),"No Blood Sugar")</f>
        <v>No Blood Sugar</v>
      </c>
      <c r="N32" t="str">
        <f t="shared" si="1"/>
        <v>High Risk</v>
      </c>
    </row>
    <row r="33" spans="1:14">
      <c r="A33">
        <v>32</v>
      </c>
      <c r="B33" t="s">
        <v>47</v>
      </c>
      <c r="C33">
        <v>87</v>
      </c>
      <c r="D33" t="s">
        <v>19</v>
      </c>
      <c r="E33">
        <v>3</v>
      </c>
      <c r="F33" s="1">
        <v>45680</v>
      </c>
      <c r="G33" s="1">
        <v>45684</v>
      </c>
      <c r="H33">
        <v>1</v>
      </c>
      <c r="I33">
        <v>5533</v>
      </c>
      <c r="J33" t="str">
        <f>VLOOKUP(E33,diagnoses!A$2:B$11,2,FALSE)</f>
        <v>Heart Disease</v>
      </c>
      <c r="K33" t="str">
        <f>VLOOKUP(H33,outcomes!A$2:B$4,2,0)</f>
        <v>Recovered</v>
      </c>
      <c r="L33">
        <f t="shared" si="0"/>
        <v>4</v>
      </c>
      <c r="M33" t="str">
        <f>IF(labs!C33="Blood Sugar",IF(labs!D33&gt;120,"High","Low"),"No Blood Sugar")</f>
        <v>No Blood Sugar</v>
      </c>
      <c r="N33" t="str">
        <f t="shared" si="1"/>
        <v>High Risk</v>
      </c>
    </row>
    <row r="34" spans="1:14">
      <c r="A34">
        <v>33</v>
      </c>
      <c r="B34" t="s">
        <v>48</v>
      </c>
      <c r="C34">
        <v>51</v>
      </c>
      <c r="D34" t="s">
        <v>15</v>
      </c>
      <c r="E34">
        <v>4</v>
      </c>
      <c r="F34" s="1">
        <v>45756</v>
      </c>
      <c r="G34" s="1">
        <v>45779</v>
      </c>
      <c r="H34">
        <v>2</v>
      </c>
      <c r="I34">
        <v>5367</v>
      </c>
      <c r="J34" t="str">
        <f>VLOOKUP(E34,diagnoses!A$2:B$11,2,FALSE)</f>
        <v>Asthma</v>
      </c>
      <c r="K34" t="str">
        <f>VLOOKUP(H34,outcomes!A$2:B$4,2,0)</f>
        <v>Complicated</v>
      </c>
      <c r="L34">
        <f t="shared" si="0"/>
        <v>23</v>
      </c>
      <c r="M34" t="str">
        <f>IF(labs!C34="Blood Sugar",IF(labs!D34&gt;120,"High","Low"),"No Blood Sugar")</f>
        <v>No Blood Sugar</v>
      </c>
      <c r="N34" t="str">
        <f t="shared" si="1"/>
        <v>High Risk</v>
      </c>
    </row>
    <row r="35" spans="1:14">
      <c r="A35">
        <v>34</v>
      </c>
      <c r="B35" t="s">
        <v>49</v>
      </c>
      <c r="C35">
        <v>73</v>
      </c>
      <c r="D35" t="s">
        <v>19</v>
      </c>
      <c r="E35">
        <v>3</v>
      </c>
      <c r="F35" s="1">
        <v>45762</v>
      </c>
      <c r="G35" s="1">
        <v>45771</v>
      </c>
      <c r="H35">
        <v>2</v>
      </c>
      <c r="I35">
        <v>5368</v>
      </c>
      <c r="J35" t="str">
        <f>VLOOKUP(E35,diagnoses!A$2:B$11,2,FALSE)</f>
        <v>Heart Disease</v>
      </c>
      <c r="K35" t="str">
        <f>VLOOKUP(H35,outcomes!A$2:B$4,2,0)</f>
        <v>Complicated</v>
      </c>
      <c r="L35">
        <f t="shared" ref="L35:L66" si="2">DATEDIF(F35,G35,"D")</f>
        <v>9</v>
      </c>
      <c r="M35" t="str">
        <f>IF(labs!C35="Blood Sugar",IF(labs!D35&gt;120,"High","Low"),"No Blood Sugar")</f>
        <v>No Blood Sugar</v>
      </c>
      <c r="N35" t="str">
        <f t="shared" ref="N35:N66" si="3">IF(OR(C35&gt;65,H35&gt;1),"High Risk","Low Risk")</f>
        <v>High Risk</v>
      </c>
    </row>
    <row r="36" spans="1:14">
      <c r="A36">
        <v>35</v>
      </c>
      <c r="B36" t="s">
        <v>50</v>
      </c>
      <c r="C36">
        <v>54</v>
      </c>
      <c r="D36" t="s">
        <v>15</v>
      </c>
      <c r="E36">
        <v>1</v>
      </c>
      <c r="F36" s="1">
        <v>45687</v>
      </c>
      <c r="G36" s="1">
        <v>45700</v>
      </c>
      <c r="H36">
        <v>3</v>
      </c>
      <c r="I36">
        <v>5797</v>
      </c>
      <c r="J36" t="str">
        <f>VLOOKUP(E36,diagnoses!A$2:B$11,2,FALSE)</f>
        <v>Hypertension</v>
      </c>
      <c r="K36" t="str">
        <f>VLOOKUP(H36,outcomes!A$2:B$4,2,0)</f>
        <v>Deceased</v>
      </c>
      <c r="L36">
        <f t="shared" si="2"/>
        <v>13</v>
      </c>
      <c r="M36" t="str">
        <f>IF(labs!C36="Blood Sugar",IF(labs!D36&gt;120,"High","Low"),"No Blood Sugar")</f>
        <v>No Blood Sugar</v>
      </c>
      <c r="N36" t="str">
        <f t="shared" si="3"/>
        <v>High Risk</v>
      </c>
    </row>
    <row r="37" spans="1:14">
      <c r="A37">
        <v>36</v>
      </c>
      <c r="B37" t="s">
        <v>51</v>
      </c>
      <c r="C37">
        <v>78</v>
      </c>
      <c r="D37" t="s">
        <v>15</v>
      </c>
      <c r="E37">
        <v>1</v>
      </c>
      <c r="F37" s="1">
        <v>45674</v>
      </c>
      <c r="G37" s="1">
        <v>45758</v>
      </c>
      <c r="H37">
        <v>2</v>
      </c>
      <c r="I37">
        <v>8922</v>
      </c>
      <c r="J37" t="str">
        <f>VLOOKUP(E37,diagnoses!A$2:B$11,2,FALSE)</f>
        <v>Hypertension</v>
      </c>
      <c r="K37" t="str">
        <f>VLOOKUP(H37,outcomes!A$2:B$4,2,0)</f>
        <v>Complicated</v>
      </c>
      <c r="L37">
        <f t="shared" si="2"/>
        <v>84</v>
      </c>
      <c r="M37" t="str">
        <f>IF(labs!C37="Blood Sugar",IF(labs!D37&gt;120,"High","Low"),"No Blood Sugar")</f>
        <v>No Blood Sugar</v>
      </c>
      <c r="N37" t="str">
        <f t="shared" si="3"/>
        <v>High Risk</v>
      </c>
    </row>
    <row r="38" spans="1:14">
      <c r="A38">
        <v>37</v>
      </c>
      <c r="B38" t="s">
        <v>52</v>
      </c>
      <c r="C38">
        <v>56</v>
      </c>
      <c r="D38" t="s">
        <v>15</v>
      </c>
      <c r="E38">
        <v>5</v>
      </c>
      <c r="F38" s="1">
        <v>45770</v>
      </c>
      <c r="G38" s="1">
        <v>45780</v>
      </c>
      <c r="H38">
        <v>1</v>
      </c>
      <c r="I38">
        <v>7526</v>
      </c>
      <c r="J38" t="str">
        <f>VLOOKUP(E38,diagnoses!A$2:B$11,2,FALSE)</f>
        <v>Stroke</v>
      </c>
      <c r="K38" t="str">
        <f>VLOOKUP(H38,outcomes!A$2:B$4,2,0)</f>
        <v>Recovered</v>
      </c>
      <c r="L38">
        <f t="shared" si="2"/>
        <v>10</v>
      </c>
      <c r="M38" t="str">
        <f>IF(labs!C38="Blood Sugar",IF(labs!D38&gt;120,"High","Low"),"No Blood Sugar")</f>
        <v>No Blood Sugar</v>
      </c>
      <c r="N38" t="str">
        <f t="shared" si="3"/>
        <v>Low Risk</v>
      </c>
    </row>
    <row r="39" spans="1:14">
      <c r="A39">
        <v>38</v>
      </c>
      <c r="B39" t="s">
        <v>53</v>
      </c>
      <c r="C39">
        <v>88</v>
      </c>
      <c r="D39" t="s">
        <v>15</v>
      </c>
      <c r="E39">
        <v>6</v>
      </c>
      <c r="F39" s="1">
        <v>45719</v>
      </c>
      <c r="G39" s="1">
        <v>45738</v>
      </c>
      <c r="H39">
        <v>2</v>
      </c>
      <c r="I39">
        <v>3792</v>
      </c>
      <c r="J39" t="str">
        <f>VLOOKUP(E39,diagnoses!A$2:B$11,2,FALSE)</f>
        <v>COPD</v>
      </c>
      <c r="K39" t="str">
        <f>VLOOKUP(H39,outcomes!A$2:B$4,2,0)</f>
        <v>Complicated</v>
      </c>
      <c r="L39">
        <f t="shared" si="2"/>
        <v>19</v>
      </c>
      <c r="M39" t="str">
        <f>IF(labs!C39="Blood Sugar",IF(labs!D39&gt;120,"High","Low"),"No Blood Sugar")</f>
        <v>No Blood Sugar</v>
      </c>
      <c r="N39" t="str">
        <f t="shared" si="3"/>
        <v>High Risk</v>
      </c>
    </row>
    <row r="40" spans="1:14">
      <c r="A40">
        <v>39</v>
      </c>
      <c r="B40" t="s">
        <v>54</v>
      </c>
      <c r="C40">
        <v>71</v>
      </c>
      <c r="D40" t="s">
        <v>19</v>
      </c>
      <c r="E40">
        <v>3</v>
      </c>
      <c r="F40" s="1">
        <v>45741</v>
      </c>
      <c r="G40" s="1">
        <v>45742</v>
      </c>
      <c r="H40">
        <v>3</v>
      </c>
      <c r="I40">
        <v>4861</v>
      </c>
      <c r="J40" t="str">
        <f>VLOOKUP(E40,diagnoses!A$2:B$11,2,FALSE)</f>
        <v>Heart Disease</v>
      </c>
      <c r="K40" t="str">
        <f>VLOOKUP(H40,outcomes!A$2:B$4,2,0)</f>
        <v>Deceased</v>
      </c>
      <c r="L40">
        <f t="shared" si="2"/>
        <v>1</v>
      </c>
      <c r="M40" t="str">
        <f>IF(labs!C40="Blood Sugar",IF(labs!D40&gt;120,"High","Low"),"No Blood Sugar")</f>
        <v>No Blood Sugar</v>
      </c>
      <c r="N40" t="str">
        <f t="shared" si="3"/>
        <v>High Risk</v>
      </c>
    </row>
    <row r="41" spans="1:14">
      <c r="A41">
        <v>40</v>
      </c>
      <c r="B41" t="s">
        <v>55</v>
      </c>
      <c r="C41">
        <v>57</v>
      </c>
      <c r="D41" t="s">
        <v>19</v>
      </c>
      <c r="E41">
        <v>9</v>
      </c>
      <c r="F41" s="1">
        <v>45769</v>
      </c>
      <c r="G41" s="1">
        <v>45820</v>
      </c>
      <c r="H41">
        <v>3</v>
      </c>
      <c r="I41">
        <v>7732</v>
      </c>
      <c r="J41" t="str">
        <f>VLOOKUP(E41,diagnoses!A$2:B$11,2,FALSE)</f>
        <v>Kidney Disease</v>
      </c>
      <c r="K41" t="str">
        <f>VLOOKUP(H41,outcomes!A$2:B$4,2,0)</f>
        <v>Deceased</v>
      </c>
      <c r="L41">
        <f t="shared" si="2"/>
        <v>51</v>
      </c>
      <c r="M41" t="str">
        <f>IF(labs!C41="Blood Sugar",IF(labs!D41&gt;120,"High","Low"),"No Blood Sugar")</f>
        <v>No Blood Sugar</v>
      </c>
      <c r="N41" t="str">
        <f t="shared" si="3"/>
        <v>High Risk</v>
      </c>
    </row>
    <row r="42" spans="1:14">
      <c r="A42">
        <v>41</v>
      </c>
      <c r="B42" t="s">
        <v>56</v>
      </c>
      <c r="C42">
        <v>89</v>
      </c>
      <c r="D42" t="s">
        <v>15</v>
      </c>
      <c r="E42">
        <v>5</v>
      </c>
      <c r="F42" s="1">
        <v>45743</v>
      </c>
      <c r="G42" s="1">
        <v>45828</v>
      </c>
      <c r="H42">
        <v>2</v>
      </c>
      <c r="I42">
        <v>5476</v>
      </c>
      <c r="J42" t="str">
        <f>VLOOKUP(E42,diagnoses!A$2:B$11,2,FALSE)</f>
        <v>Stroke</v>
      </c>
      <c r="K42" t="str">
        <f>VLOOKUP(H42,outcomes!A$2:B$4,2,0)</f>
        <v>Complicated</v>
      </c>
      <c r="L42">
        <f t="shared" si="2"/>
        <v>85</v>
      </c>
      <c r="M42" t="str">
        <f>IF(labs!C42="Blood Sugar",IF(labs!D42&gt;120,"High","Low"),"No Blood Sugar")</f>
        <v>No Blood Sugar</v>
      </c>
      <c r="N42" t="str">
        <f t="shared" si="3"/>
        <v>High Risk</v>
      </c>
    </row>
    <row r="43" spans="1:14">
      <c r="A43">
        <v>42</v>
      </c>
      <c r="B43" t="s">
        <v>57</v>
      </c>
      <c r="C43">
        <v>45</v>
      </c>
      <c r="D43" t="s">
        <v>15</v>
      </c>
      <c r="E43">
        <v>8</v>
      </c>
      <c r="F43" s="1">
        <v>45798</v>
      </c>
      <c r="G43" s="1">
        <v>45848</v>
      </c>
      <c r="H43">
        <v>3</v>
      </c>
      <c r="I43">
        <v>5417</v>
      </c>
      <c r="J43" t="str">
        <f>VLOOKUP(E43,diagnoses!A$2:B$11,2,FALSE)</f>
        <v>Arthritis</v>
      </c>
      <c r="K43" t="str">
        <f>VLOOKUP(H43,outcomes!A$2:B$4,2,0)</f>
        <v>Deceased</v>
      </c>
      <c r="L43">
        <f t="shared" si="2"/>
        <v>50</v>
      </c>
      <c r="M43" t="str">
        <f>IF(labs!C43="Blood Sugar",IF(labs!D43&gt;120,"High","Low"),"No Blood Sugar")</f>
        <v>No Blood Sugar</v>
      </c>
      <c r="N43" t="str">
        <f t="shared" si="3"/>
        <v>High Risk</v>
      </c>
    </row>
    <row r="44" spans="1:14">
      <c r="A44">
        <v>43</v>
      </c>
      <c r="B44" t="s">
        <v>58</v>
      </c>
      <c r="C44">
        <v>44</v>
      </c>
      <c r="D44" t="s">
        <v>19</v>
      </c>
      <c r="E44">
        <v>1</v>
      </c>
      <c r="F44" s="1">
        <v>45676</v>
      </c>
      <c r="G44" s="1">
        <v>45784</v>
      </c>
      <c r="H44">
        <v>1</v>
      </c>
      <c r="I44">
        <v>3645</v>
      </c>
      <c r="J44" t="str">
        <f>VLOOKUP(E44,diagnoses!A$2:B$11,2,FALSE)</f>
        <v>Hypertension</v>
      </c>
      <c r="K44" t="str">
        <f>VLOOKUP(H44,outcomes!A$2:B$4,2,0)</f>
        <v>Recovered</v>
      </c>
      <c r="L44">
        <f t="shared" si="2"/>
        <v>108</v>
      </c>
      <c r="M44" t="str">
        <f>IF(labs!C44="Blood Sugar",IF(labs!D44&gt;120,"High","Low"),"No Blood Sugar")</f>
        <v>No Blood Sugar</v>
      </c>
      <c r="N44" t="str">
        <f t="shared" si="3"/>
        <v>Low Risk</v>
      </c>
    </row>
    <row r="45" spans="1:14">
      <c r="A45">
        <v>44</v>
      </c>
      <c r="B45" t="s">
        <v>59</v>
      </c>
      <c r="C45">
        <v>76</v>
      </c>
      <c r="D45" t="s">
        <v>15</v>
      </c>
      <c r="E45">
        <v>5</v>
      </c>
      <c r="F45" s="1">
        <v>45834</v>
      </c>
      <c r="G45" s="1">
        <v>45843</v>
      </c>
      <c r="H45">
        <v>1</v>
      </c>
      <c r="I45">
        <v>8563</v>
      </c>
      <c r="J45" t="str">
        <f>VLOOKUP(E45,diagnoses!A$2:B$11,2,FALSE)</f>
        <v>Stroke</v>
      </c>
      <c r="K45" t="str">
        <f>VLOOKUP(H45,outcomes!A$2:B$4,2,0)</f>
        <v>Recovered</v>
      </c>
      <c r="L45">
        <f t="shared" si="2"/>
        <v>9</v>
      </c>
      <c r="M45" t="str">
        <f>IF(labs!C45="Blood Sugar",IF(labs!D45&gt;120,"High","Low"),"No Blood Sugar")</f>
        <v>Low</v>
      </c>
      <c r="N45" t="str">
        <f t="shared" si="3"/>
        <v>High Risk</v>
      </c>
    </row>
    <row r="46" spans="1:14">
      <c r="A46">
        <v>45</v>
      </c>
      <c r="B46" t="s">
        <v>60</v>
      </c>
      <c r="C46">
        <v>80</v>
      </c>
      <c r="D46" t="s">
        <v>15</v>
      </c>
      <c r="E46">
        <v>3</v>
      </c>
      <c r="F46" s="1">
        <v>45757</v>
      </c>
      <c r="G46" s="1">
        <v>45789</v>
      </c>
      <c r="H46">
        <v>2</v>
      </c>
      <c r="I46">
        <v>3205</v>
      </c>
      <c r="J46" t="str">
        <f>VLOOKUP(E46,diagnoses!A$2:B$11,2,FALSE)</f>
        <v>Heart Disease</v>
      </c>
      <c r="K46" t="str">
        <f>VLOOKUP(H46,outcomes!A$2:B$4,2,0)</f>
        <v>Complicated</v>
      </c>
      <c r="L46">
        <f t="shared" si="2"/>
        <v>32</v>
      </c>
      <c r="M46" t="str">
        <f>IF(labs!C46="Blood Sugar",IF(labs!D46&gt;120,"High","Low"),"No Blood Sugar")</f>
        <v>No Blood Sugar</v>
      </c>
      <c r="N46" t="str">
        <f t="shared" si="3"/>
        <v>High Risk</v>
      </c>
    </row>
    <row r="47" spans="1:14">
      <c r="A47">
        <v>46</v>
      </c>
      <c r="B47" t="s">
        <v>61</v>
      </c>
      <c r="C47">
        <v>73</v>
      </c>
      <c r="D47" t="s">
        <v>15</v>
      </c>
      <c r="E47">
        <v>1</v>
      </c>
      <c r="F47" s="1">
        <v>45797</v>
      </c>
      <c r="G47" s="1">
        <v>45801</v>
      </c>
      <c r="H47">
        <v>2</v>
      </c>
      <c r="I47">
        <v>5030</v>
      </c>
      <c r="J47" t="str">
        <f>VLOOKUP(E47,diagnoses!A$2:B$11,2,FALSE)</f>
        <v>Hypertension</v>
      </c>
      <c r="K47" t="str">
        <f>VLOOKUP(H47,outcomes!A$2:B$4,2,0)</f>
        <v>Complicated</v>
      </c>
      <c r="L47">
        <f t="shared" si="2"/>
        <v>4</v>
      </c>
      <c r="M47" t="str">
        <f>IF(labs!C47="Blood Sugar",IF(labs!D47&gt;120,"High","Low"),"No Blood Sugar")</f>
        <v>No Blood Sugar</v>
      </c>
      <c r="N47" t="str">
        <f t="shared" si="3"/>
        <v>High Risk</v>
      </c>
    </row>
    <row r="48" spans="1:14">
      <c r="A48">
        <v>47</v>
      </c>
      <c r="B48" t="s">
        <v>62</v>
      </c>
      <c r="C48">
        <v>84</v>
      </c>
      <c r="D48" t="s">
        <v>19</v>
      </c>
      <c r="E48">
        <v>4</v>
      </c>
      <c r="F48" s="1">
        <v>45804</v>
      </c>
      <c r="G48" s="1">
        <v>45813</v>
      </c>
      <c r="H48">
        <v>2</v>
      </c>
      <c r="I48">
        <v>4872</v>
      </c>
      <c r="J48" t="str">
        <f>VLOOKUP(E48,diagnoses!A$2:B$11,2,FALSE)</f>
        <v>Asthma</v>
      </c>
      <c r="K48" t="str">
        <f>VLOOKUP(H48,outcomes!A$2:B$4,2,0)</f>
        <v>Complicated</v>
      </c>
      <c r="L48">
        <f t="shared" si="2"/>
        <v>9</v>
      </c>
      <c r="M48" t="str">
        <f>IF(labs!C48="Blood Sugar",IF(labs!D48&gt;120,"High","Low"),"No Blood Sugar")</f>
        <v>No Blood Sugar</v>
      </c>
      <c r="N48" t="str">
        <f t="shared" si="3"/>
        <v>High Risk</v>
      </c>
    </row>
    <row r="49" spans="1:14">
      <c r="A49">
        <v>48</v>
      </c>
      <c r="B49" t="s">
        <v>63</v>
      </c>
      <c r="C49">
        <v>81</v>
      </c>
      <c r="D49" t="s">
        <v>19</v>
      </c>
      <c r="E49">
        <v>5</v>
      </c>
      <c r="F49" s="1">
        <v>45733</v>
      </c>
      <c r="G49" s="1">
        <v>45740</v>
      </c>
      <c r="H49">
        <v>3</v>
      </c>
      <c r="I49">
        <v>5072</v>
      </c>
      <c r="J49" t="str">
        <f>VLOOKUP(E49,diagnoses!A$2:B$11,2,FALSE)</f>
        <v>Stroke</v>
      </c>
      <c r="K49" t="str">
        <f>VLOOKUP(H49,outcomes!A$2:B$4,2,0)</f>
        <v>Deceased</v>
      </c>
      <c r="L49">
        <f t="shared" si="2"/>
        <v>7</v>
      </c>
      <c r="M49" t="str">
        <f>IF(labs!C49="Blood Sugar",IF(labs!D49&gt;120,"High","Low"),"No Blood Sugar")</f>
        <v>No Blood Sugar</v>
      </c>
      <c r="N49" t="str">
        <f t="shared" si="3"/>
        <v>High Risk</v>
      </c>
    </row>
    <row r="50" spans="1:14">
      <c r="A50">
        <v>49</v>
      </c>
      <c r="B50" t="s">
        <v>64</v>
      </c>
      <c r="C50">
        <v>86</v>
      </c>
      <c r="D50" t="s">
        <v>19</v>
      </c>
      <c r="E50">
        <v>7</v>
      </c>
      <c r="F50" s="1">
        <v>45666</v>
      </c>
      <c r="G50" s="1">
        <v>45799</v>
      </c>
      <c r="H50">
        <v>1</v>
      </c>
      <c r="I50">
        <v>3854</v>
      </c>
      <c r="J50" t="str">
        <f>VLOOKUP(E50,diagnoses!A$2:B$11,2,FALSE)</f>
        <v>Cancer</v>
      </c>
      <c r="K50" t="str">
        <f>VLOOKUP(H50,outcomes!A$2:B$4,2,0)</f>
        <v>Recovered</v>
      </c>
      <c r="L50">
        <f t="shared" si="2"/>
        <v>133</v>
      </c>
      <c r="M50" t="str">
        <f>IF(labs!C50="Blood Sugar",IF(labs!D50&gt;120,"High","Low"),"No Blood Sugar")</f>
        <v>High</v>
      </c>
      <c r="N50" t="str">
        <f t="shared" si="3"/>
        <v>High Risk</v>
      </c>
    </row>
    <row r="51" spans="1:14">
      <c r="A51">
        <v>50</v>
      </c>
      <c r="B51" t="s">
        <v>65</v>
      </c>
      <c r="C51">
        <v>32</v>
      </c>
      <c r="D51" t="s">
        <v>15</v>
      </c>
      <c r="E51">
        <v>1</v>
      </c>
      <c r="F51" s="1">
        <v>45685</v>
      </c>
      <c r="G51" s="1">
        <v>45723</v>
      </c>
      <c r="H51">
        <v>1</v>
      </c>
      <c r="I51">
        <v>6021</v>
      </c>
      <c r="J51" t="str">
        <f>VLOOKUP(E51,diagnoses!A$2:B$11,2,FALSE)</f>
        <v>Hypertension</v>
      </c>
      <c r="K51" t="str">
        <f>VLOOKUP(H51,outcomes!A$2:B$4,2,0)</f>
        <v>Recovered</v>
      </c>
      <c r="L51">
        <f t="shared" si="2"/>
        <v>38</v>
      </c>
      <c r="M51" t="str">
        <f>IF(labs!C51="Blood Sugar",IF(labs!D51&gt;120,"High","Low"),"No Blood Sugar")</f>
        <v>No Blood Sugar</v>
      </c>
      <c r="N51" t="str">
        <f t="shared" si="3"/>
        <v>Low Risk</v>
      </c>
    </row>
    <row r="52" spans="1:14">
      <c r="A52">
        <v>51</v>
      </c>
      <c r="B52" t="s">
        <v>66</v>
      </c>
      <c r="C52">
        <v>66</v>
      </c>
      <c r="D52" t="s">
        <v>15</v>
      </c>
      <c r="E52">
        <v>3</v>
      </c>
      <c r="F52" s="1">
        <v>45785</v>
      </c>
      <c r="G52" s="1">
        <v>45811</v>
      </c>
      <c r="H52">
        <v>3</v>
      </c>
      <c r="I52">
        <v>6662</v>
      </c>
      <c r="J52" t="str">
        <f>VLOOKUP(E52,diagnoses!A$2:B$11,2,FALSE)</f>
        <v>Heart Disease</v>
      </c>
      <c r="K52" t="str">
        <f>VLOOKUP(H52,outcomes!A$2:B$4,2,0)</f>
        <v>Deceased</v>
      </c>
      <c r="L52">
        <f t="shared" si="2"/>
        <v>26</v>
      </c>
      <c r="M52" t="str">
        <f>IF(labs!C52="Blood Sugar",IF(labs!D52&gt;120,"High","Low"),"No Blood Sugar")</f>
        <v>High</v>
      </c>
      <c r="N52" t="str">
        <f t="shared" si="3"/>
        <v>High Risk</v>
      </c>
    </row>
    <row r="53" spans="1:14">
      <c r="A53">
        <v>52</v>
      </c>
      <c r="B53" t="s">
        <v>67</v>
      </c>
      <c r="C53">
        <v>80</v>
      </c>
      <c r="D53" t="s">
        <v>19</v>
      </c>
      <c r="E53">
        <v>2</v>
      </c>
      <c r="F53" s="1">
        <v>45709</v>
      </c>
      <c r="G53" s="1">
        <v>45778</v>
      </c>
      <c r="H53">
        <v>1</v>
      </c>
      <c r="I53">
        <v>8514</v>
      </c>
      <c r="J53" t="str">
        <f>VLOOKUP(E53,diagnoses!A$2:B$11,2,FALSE)</f>
        <v>Diabetes</v>
      </c>
      <c r="K53" t="str">
        <f>VLOOKUP(H53,outcomes!A$2:B$4,2,0)</f>
        <v>Recovered</v>
      </c>
      <c r="L53">
        <f t="shared" si="2"/>
        <v>69</v>
      </c>
      <c r="M53" t="str">
        <f>IF(labs!C53="Blood Sugar",IF(labs!D53&gt;120,"High","Low"),"No Blood Sugar")</f>
        <v>No Blood Sugar</v>
      </c>
      <c r="N53" t="str">
        <f t="shared" si="3"/>
        <v>High Risk</v>
      </c>
    </row>
    <row r="54" spans="1:14">
      <c r="A54">
        <v>53</v>
      </c>
      <c r="B54" t="s">
        <v>68</v>
      </c>
      <c r="C54">
        <v>36</v>
      </c>
      <c r="D54" t="s">
        <v>19</v>
      </c>
      <c r="E54">
        <v>9</v>
      </c>
      <c r="F54" s="1">
        <v>45740</v>
      </c>
      <c r="G54" s="1">
        <v>45744</v>
      </c>
      <c r="H54">
        <v>2</v>
      </c>
      <c r="I54">
        <v>7031</v>
      </c>
      <c r="J54" t="str">
        <f>VLOOKUP(E54,diagnoses!A$2:B$11,2,FALSE)</f>
        <v>Kidney Disease</v>
      </c>
      <c r="K54" t="str">
        <f>VLOOKUP(H54,outcomes!A$2:B$4,2,0)</f>
        <v>Complicated</v>
      </c>
      <c r="L54">
        <f t="shared" si="2"/>
        <v>4</v>
      </c>
      <c r="M54" t="str">
        <f>IF(labs!C54="Blood Sugar",IF(labs!D54&gt;120,"High","Low"),"No Blood Sugar")</f>
        <v>No Blood Sugar</v>
      </c>
      <c r="N54" t="str">
        <f t="shared" si="3"/>
        <v>High Risk</v>
      </c>
    </row>
    <row r="55" spans="1:14">
      <c r="A55">
        <v>54</v>
      </c>
      <c r="B55" t="s">
        <v>69</v>
      </c>
      <c r="C55">
        <v>50</v>
      </c>
      <c r="D55" t="s">
        <v>19</v>
      </c>
      <c r="E55">
        <v>10</v>
      </c>
      <c r="F55" s="1">
        <v>45768</v>
      </c>
      <c r="G55" s="1">
        <v>45817</v>
      </c>
      <c r="H55">
        <v>2</v>
      </c>
      <c r="I55">
        <v>8030</v>
      </c>
      <c r="J55" t="str">
        <f>VLOOKUP(E55,diagnoses!A$2:B$11,2,FALSE)</f>
        <v>Liver Disease</v>
      </c>
      <c r="K55" t="str">
        <f>VLOOKUP(H55,outcomes!A$2:B$4,2,0)</f>
        <v>Complicated</v>
      </c>
      <c r="L55">
        <f t="shared" si="2"/>
        <v>49</v>
      </c>
      <c r="M55" t="str">
        <f>IF(labs!C55="Blood Sugar",IF(labs!D55&gt;120,"High","Low"),"No Blood Sugar")</f>
        <v>High</v>
      </c>
      <c r="N55" t="str">
        <f t="shared" si="3"/>
        <v>High Risk</v>
      </c>
    </row>
    <row r="56" spans="1:14">
      <c r="A56">
        <v>55</v>
      </c>
      <c r="B56" t="s">
        <v>70</v>
      </c>
      <c r="C56">
        <v>38</v>
      </c>
      <c r="D56" t="s">
        <v>19</v>
      </c>
      <c r="E56">
        <v>6</v>
      </c>
      <c r="F56" s="1">
        <v>45801</v>
      </c>
      <c r="G56" s="1">
        <v>45809</v>
      </c>
      <c r="H56">
        <v>2</v>
      </c>
      <c r="I56">
        <v>4708</v>
      </c>
      <c r="J56" t="str">
        <f>VLOOKUP(E56,diagnoses!A$2:B$11,2,FALSE)</f>
        <v>COPD</v>
      </c>
      <c r="K56" t="str">
        <f>VLOOKUP(H56,outcomes!A$2:B$4,2,0)</f>
        <v>Complicated</v>
      </c>
      <c r="L56">
        <f t="shared" si="2"/>
        <v>8</v>
      </c>
      <c r="M56" t="str">
        <f>IF(labs!C56="Blood Sugar",IF(labs!D56&gt;120,"High","Low"),"No Blood Sugar")</f>
        <v>No Blood Sugar</v>
      </c>
      <c r="N56" t="str">
        <f t="shared" si="3"/>
        <v>High Risk</v>
      </c>
    </row>
    <row r="57" spans="1:14">
      <c r="A57">
        <v>56</v>
      </c>
      <c r="B57" t="s">
        <v>71</v>
      </c>
      <c r="C57">
        <v>68</v>
      </c>
      <c r="D57" t="s">
        <v>15</v>
      </c>
      <c r="E57">
        <v>10</v>
      </c>
      <c r="F57" s="1">
        <v>45774</v>
      </c>
      <c r="G57" s="1">
        <v>45808</v>
      </c>
      <c r="H57">
        <v>1</v>
      </c>
      <c r="I57">
        <v>5502</v>
      </c>
      <c r="J57" t="str">
        <f>VLOOKUP(E57,diagnoses!A$2:B$11,2,FALSE)</f>
        <v>Liver Disease</v>
      </c>
      <c r="K57" t="str">
        <f>VLOOKUP(H57,outcomes!A$2:B$4,2,0)</f>
        <v>Recovered</v>
      </c>
      <c r="L57">
        <f t="shared" si="2"/>
        <v>34</v>
      </c>
      <c r="M57" t="str">
        <f>IF(labs!C57="Blood Sugar",IF(labs!D57&gt;120,"High","Low"),"No Blood Sugar")</f>
        <v>No Blood Sugar</v>
      </c>
      <c r="N57" t="str">
        <f t="shared" si="3"/>
        <v>High Risk</v>
      </c>
    </row>
    <row r="58" spans="1:14">
      <c r="A58">
        <v>57</v>
      </c>
      <c r="B58" t="s">
        <v>72</v>
      </c>
      <c r="C58">
        <v>47</v>
      </c>
      <c r="D58" t="s">
        <v>19</v>
      </c>
      <c r="E58">
        <v>3</v>
      </c>
      <c r="F58" s="1">
        <v>45726</v>
      </c>
      <c r="G58" s="1">
        <v>45732</v>
      </c>
      <c r="H58">
        <v>2</v>
      </c>
      <c r="I58">
        <v>9112</v>
      </c>
      <c r="J58" t="str">
        <f>VLOOKUP(E58,diagnoses!A$2:B$11,2,FALSE)</f>
        <v>Heart Disease</v>
      </c>
      <c r="K58" t="str">
        <f>VLOOKUP(H58,outcomes!A$2:B$4,2,0)</f>
        <v>Complicated</v>
      </c>
      <c r="L58">
        <f t="shared" si="2"/>
        <v>6</v>
      </c>
      <c r="M58" t="str">
        <f>IF(labs!C58="Blood Sugar",IF(labs!D58&gt;120,"High","Low"),"No Blood Sugar")</f>
        <v>Low</v>
      </c>
      <c r="N58" t="str">
        <f t="shared" si="3"/>
        <v>High Risk</v>
      </c>
    </row>
    <row r="59" spans="1:14">
      <c r="A59">
        <v>58</v>
      </c>
      <c r="B59" t="s">
        <v>73</v>
      </c>
      <c r="C59">
        <v>33</v>
      </c>
      <c r="D59" t="s">
        <v>15</v>
      </c>
      <c r="E59">
        <v>8</v>
      </c>
      <c r="F59" s="1">
        <v>45756</v>
      </c>
      <c r="G59" s="1">
        <v>45766</v>
      </c>
      <c r="H59">
        <v>3</v>
      </c>
      <c r="I59">
        <v>3332</v>
      </c>
      <c r="J59" t="str">
        <f>VLOOKUP(E59,diagnoses!A$2:B$11,2,FALSE)</f>
        <v>Arthritis</v>
      </c>
      <c r="K59" t="str">
        <f>VLOOKUP(H59,outcomes!A$2:B$4,2,0)</f>
        <v>Deceased</v>
      </c>
      <c r="L59">
        <f t="shared" si="2"/>
        <v>10</v>
      </c>
      <c r="M59" t="str">
        <f>IF(labs!C59="Blood Sugar",IF(labs!D59&gt;120,"High","Low"),"No Blood Sugar")</f>
        <v>No Blood Sugar</v>
      </c>
      <c r="N59" t="str">
        <f t="shared" si="3"/>
        <v>High Risk</v>
      </c>
    </row>
    <row r="60" spans="1:14">
      <c r="A60">
        <v>59</v>
      </c>
      <c r="B60" t="s">
        <v>74</v>
      </c>
      <c r="C60">
        <v>54</v>
      </c>
      <c r="D60" t="s">
        <v>19</v>
      </c>
      <c r="E60">
        <v>8</v>
      </c>
      <c r="F60" s="1">
        <v>45797</v>
      </c>
      <c r="G60" s="1">
        <v>45845</v>
      </c>
      <c r="H60">
        <v>3</v>
      </c>
      <c r="I60">
        <v>9304</v>
      </c>
      <c r="J60" t="str">
        <f>VLOOKUP(E60,diagnoses!A$2:B$11,2,FALSE)</f>
        <v>Arthritis</v>
      </c>
      <c r="K60" t="str">
        <f>VLOOKUP(H60,outcomes!A$2:B$4,2,0)</f>
        <v>Deceased</v>
      </c>
      <c r="L60">
        <f t="shared" si="2"/>
        <v>48</v>
      </c>
      <c r="M60" t="str">
        <f>IF(labs!C60="Blood Sugar",IF(labs!D60&gt;120,"High","Low"),"No Blood Sugar")</f>
        <v>High</v>
      </c>
      <c r="N60" t="str">
        <f t="shared" si="3"/>
        <v>High Risk</v>
      </c>
    </row>
    <row r="61" spans="1:14">
      <c r="A61">
        <v>60</v>
      </c>
      <c r="B61" t="s">
        <v>75</v>
      </c>
      <c r="C61">
        <v>89</v>
      </c>
      <c r="D61" t="s">
        <v>15</v>
      </c>
      <c r="E61">
        <v>2</v>
      </c>
      <c r="F61" s="1">
        <v>45682</v>
      </c>
      <c r="G61" s="1">
        <v>45769</v>
      </c>
      <c r="H61">
        <v>1</v>
      </c>
      <c r="I61">
        <v>2201</v>
      </c>
      <c r="J61" t="str">
        <f>VLOOKUP(E61,diagnoses!A$2:B$11,2,FALSE)</f>
        <v>Diabetes</v>
      </c>
      <c r="K61" t="str">
        <f>VLOOKUP(H61,outcomes!A$2:B$4,2,0)</f>
        <v>Recovered</v>
      </c>
      <c r="L61">
        <f t="shared" si="2"/>
        <v>87</v>
      </c>
      <c r="M61" t="str">
        <f>IF(labs!C61="Blood Sugar",IF(labs!D61&gt;120,"High","Low"),"No Blood Sugar")</f>
        <v>No Blood Sugar</v>
      </c>
      <c r="N61" t="str">
        <f t="shared" si="3"/>
        <v>High Risk</v>
      </c>
    </row>
    <row r="62" spans="1:14">
      <c r="A62">
        <v>61</v>
      </c>
      <c r="B62" t="s">
        <v>76</v>
      </c>
      <c r="C62">
        <v>43</v>
      </c>
      <c r="D62" t="s">
        <v>19</v>
      </c>
      <c r="E62">
        <v>6</v>
      </c>
      <c r="F62" s="1">
        <v>45837</v>
      </c>
      <c r="G62" s="1">
        <v>45842</v>
      </c>
      <c r="H62">
        <v>3</v>
      </c>
      <c r="I62">
        <v>5507</v>
      </c>
      <c r="J62" t="str">
        <f>VLOOKUP(E62,diagnoses!A$2:B$11,2,FALSE)</f>
        <v>COPD</v>
      </c>
      <c r="K62" t="str">
        <f>VLOOKUP(H62,outcomes!A$2:B$4,2,0)</f>
        <v>Deceased</v>
      </c>
      <c r="L62">
        <f t="shared" si="2"/>
        <v>5</v>
      </c>
      <c r="M62" t="str">
        <f>IF(labs!C62="Blood Sugar",IF(labs!D62&gt;120,"High","Low"),"No Blood Sugar")</f>
        <v>No Blood Sugar</v>
      </c>
      <c r="N62" t="str">
        <f t="shared" si="3"/>
        <v>High Risk</v>
      </c>
    </row>
    <row r="63" spans="1:14">
      <c r="A63">
        <v>62</v>
      </c>
      <c r="B63" t="s">
        <v>77</v>
      </c>
      <c r="C63">
        <v>79</v>
      </c>
      <c r="D63" t="s">
        <v>19</v>
      </c>
      <c r="E63">
        <v>7</v>
      </c>
      <c r="F63" s="1">
        <v>45780</v>
      </c>
      <c r="G63" s="1">
        <v>45781</v>
      </c>
      <c r="H63">
        <v>3</v>
      </c>
      <c r="I63">
        <v>8456</v>
      </c>
      <c r="J63" t="str">
        <f>VLOOKUP(E63,diagnoses!A$2:B$11,2,FALSE)</f>
        <v>Cancer</v>
      </c>
      <c r="K63" t="str">
        <f>VLOOKUP(H63,outcomes!A$2:B$4,2,0)</f>
        <v>Deceased</v>
      </c>
      <c r="L63">
        <f t="shared" si="2"/>
        <v>1</v>
      </c>
      <c r="M63" t="str">
        <f>IF(labs!C63="Blood Sugar",IF(labs!D63&gt;120,"High","Low"),"No Blood Sugar")</f>
        <v>No Blood Sugar</v>
      </c>
      <c r="N63" t="str">
        <f t="shared" si="3"/>
        <v>High Risk</v>
      </c>
    </row>
    <row r="64" spans="1:14">
      <c r="A64">
        <v>63</v>
      </c>
      <c r="B64" t="s">
        <v>78</v>
      </c>
      <c r="C64">
        <v>87</v>
      </c>
      <c r="D64" t="s">
        <v>19</v>
      </c>
      <c r="E64">
        <v>2</v>
      </c>
      <c r="F64" s="1">
        <v>45710</v>
      </c>
      <c r="G64" s="1">
        <v>45716</v>
      </c>
      <c r="H64">
        <v>1</v>
      </c>
      <c r="I64">
        <v>6212</v>
      </c>
      <c r="J64" t="str">
        <f>VLOOKUP(E64,diagnoses!A$2:B$11,2,FALSE)</f>
        <v>Diabetes</v>
      </c>
      <c r="K64" t="str">
        <f>VLOOKUP(H64,outcomes!A$2:B$4,2,0)</f>
        <v>Recovered</v>
      </c>
      <c r="L64">
        <f t="shared" si="2"/>
        <v>6</v>
      </c>
      <c r="M64" t="str">
        <f>IF(labs!C64="Blood Sugar",IF(labs!D64&gt;120,"High","Low"),"No Blood Sugar")</f>
        <v>No Blood Sugar</v>
      </c>
      <c r="N64" t="str">
        <f t="shared" si="3"/>
        <v>High Risk</v>
      </c>
    </row>
    <row r="65" spans="1:14">
      <c r="A65">
        <v>64</v>
      </c>
      <c r="B65" t="s">
        <v>79</v>
      </c>
      <c r="C65">
        <v>38</v>
      </c>
      <c r="D65" t="s">
        <v>19</v>
      </c>
      <c r="E65">
        <v>10</v>
      </c>
      <c r="F65" s="1">
        <v>45808</v>
      </c>
      <c r="G65" s="1">
        <v>45811</v>
      </c>
      <c r="H65">
        <v>2</v>
      </c>
      <c r="I65">
        <v>9833</v>
      </c>
      <c r="J65" t="str">
        <f>VLOOKUP(E65,diagnoses!A$2:B$11,2,FALSE)</f>
        <v>Liver Disease</v>
      </c>
      <c r="K65" t="str">
        <f>VLOOKUP(H65,outcomes!A$2:B$4,2,0)</f>
        <v>Complicated</v>
      </c>
      <c r="L65">
        <f t="shared" si="2"/>
        <v>3</v>
      </c>
      <c r="M65" t="str">
        <f>IF(labs!C65="Blood Sugar",IF(labs!D65&gt;120,"High","Low"),"No Blood Sugar")</f>
        <v>No Blood Sugar</v>
      </c>
      <c r="N65" t="str">
        <f t="shared" si="3"/>
        <v>High Risk</v>
      </c>
    </row>
    <row r="66" spans="1:14">
      <c r="A66">
        <v>65</v>
      </c>
      <c r="B66" t="s">
        <v>80</v>
      </c>
      <c r="C66">
        <v>55</v>
      </c>
      <c r="D66" t="s">
        <v>15</v>
      </c>
      <c r="E66">
        <v>2</v>
      </c>
      <c r="F66" s="1">
        <v>45801</v>
      </c>
      <c r="G66" s="1">
        <v>45808</v>
      </c>
      <c r="H66">
        <v>2</v>
      </c>
      <c r="I66">
        <v>7032</v>
      </c>
      <c r="J66" t="str">
        <f>VLOOKUP(E66,diagnoses!A$2:B$11,2,FALSE)</f>
        <v>Diabetes</v>
      </c>
      <c r="K66" t="str">
        <f>VLOOKUP(H66,outcomes!A$2:B$4,2,0)</f>
        <v>Complicated</v>
      </c>
      <c r="L66">
        <f t="shared" si="2"/>
        <v>7</v>
      </c>
      <c r="M66" t="str">
        <f>IF(labs!C66="Blood Sugar",IF(labs!D66&gt;120,"High","Low"),"No Blood Sugar")</f>
        <v>No Blood Sugar</v>
      </c>
      <c r="N66" t="str">
        <f t="shared" si="3"/>
        <v>High Risk</v>
      </c>
    </row>
    <row r="67" spans="1:14">
      <c r="A67">
        <v>66</v>
      </c>
      <c r="B67" t="s">
        <v>81</v>
      </c>
      <c r="C67">
        <v>82</v>
      </c>
      <c r="D67" t="s">
        <v>19</v>
      </c>
      <c r="E67">
        <v>10</v>
      </c>
      <c r="F67" s="1">
        <v>45714</v>
      </c>
      <c r="G67" s="1">
        <v>45720</v>
      </c>
      <c r="H67">
        <v>2</v>
      </c>
      <c r="I67">
        <v>9970</v>
      </c>
      <c r="J67" t="str">
        <f>VLOOKUP(E67,diagnoses!A$2:B$11,2,FALSE)</f>
        <v>Liver Disease</v>
      </c>
      <c r="K67" t="str">
        <f>VLOOKUP(H67,outcomes!A$2:B$4,2,0)</f>
        <v>Complicated</v>
      </c>
      <c r="L67">
        <f t="shared" ref="L67:L98" si="4">DATEDIF(F67,G67,"D")</f>
        <v>6</v>
      </c>
      <c r="M67" t="str">
        <f>IF(labs!C67="Blood Sugar",IF(labs!D67&gt;120,"High","Low"),"No Blood Sugar")</f>
        <v>No Blood Sugar</v>
      </c>
      <c r="N67" t="str">
        <f t="shared" ref="N67:N98" si="5">IF(OR(C67&gt;65,H67&gt;1),"High Risk","Low Risk")</f>
        <v>High Risk</v>
      </c>
    </row>
    <row r="68" spans="1:14">
      <c r="A68">
        <v>67</v>
      </c>
      <c r="B68" t="s">
        <v>82</v>
      </c>
      <c r="C68">
        <v>31</v>
      </c>
      <c r="D68" t="s">
        <v>15</v>
      </c>
      <c r="E68">
        <v>1</v>
      </c>
      <c r="F68" s="1">
        <v>45696</v>
      </c>
      <c r="G68" s="1">
        <v>45745</v>
      </c>
      <c r="H68">
        <v>1</v>
      </c>
      <c r="I68">
        <v>2574</v>
      </c>
      <c r="J68" t="str">
        <f>VLOOKUP(E68,diagnoses!A$2:B$11,2,FALSE)</f>
        <v>Hypertension</v>
      </c>
      <c r="K68" t="str">
        <f>VLOOKUP(H68,outcomes!A$2:B$4,2,0)</f>
        <v>Recovered</v>
      </c>
      <c r="L68">
        <f t="shared" si="4"/>
        <v>49</v>
      </c>
      <c r="M68" t="str">
        <f>IF(labs!C68="Blood Sugar",IF(labs!D68&gt;120,"High","Low"),"No Blood Sugar")</f>
        <v>No Blood Sugar</v>
      </c>
      <c r="N68" t="str">
        <f t="shared" si="5"/>
        <v>Low Risk</v>
      </c>
    </row>
    <row r="69" spans="1:14">
      <c r="A69">
        <v>68</v>
      </c>
      <c r="B69" t="s">
        <v>83</v>
      </c>
      <c r="C69">
        <v>49</v>
      </c>
      <c r="D69" t="s">
        <v>15</v>
      </c>
      <c r="E69">
        <v>8</v>
      </c>
      <c r="F69" s="1">
        <v>45766</v>
      </c>
      <c r="G69" s="1">
        <v>45771</v>
      </c>
      <c r="H69">
        <v>3</v>
      </c>
      <c r="I69">
        <v>8387</v>
      </c>
      <c r="J69" t="str">
        <f>VLOOKUP(E69,diagnoses!A$2:B$11,2,FALSE)</f>
        <v>Arthritis</v>
      </c>
      <c r="K69" t="str">
        <f>VLOOKUP(H69,outcomes!A$2:B$4,2,0)</f>
        <v>Deceased</v>
      </c>
      <c r="L69">
        <f t="shared" si="4"/>
        <v>5</v>
      </c>
      <c r="M69" t="str">
        <f>IF(labs!C69="Blood Sugar",IF(labs!D69&gt;120,"High","Low"),"No Blood Sugar")</f>
        <v>No Blood Sugar</v>
      </c>
      <c r="N69" t="str">
        <f t="shared" si="5"/>
        <v>High Risk</v>
      </c>
    </row>
    <row r="70" spans="1:14">
      <c r="A70">
        <v>69</v>
      </c>
      <c r="B70" t="s">
        <v>84</v>
      </c>
      <c r="C70">
        <v>57</v>
      </c>
      <c r="D70" t="s">
        <v>15</v>
      </c>
      <c r="E70">
        <v>1</v>
      </c>
      <c r="F70" s="1">
        <v>45838</v>
      </c>
      <c r="G70" s="1">
        <v>45845</v>
      </c>
      <c r="H70">
        <v>2</v>
      </c>
      <c r="I70">
        <v>2536</v>
      </c>
      <c r="J70" t="str">
        <f>VLOOKUP(E70,diagnoses!A$2:B$11,2,FALSE)</f>
        <v>Hypertension</v>
      </c>
      <c r="K70" t="str">
        <f>VLOOKUP(H70,outcomes!A$2:B$4,2,0)</f>
        <v>Complicated</v>
      </c>
      <c r="L70">
        <f t="shared" si="4"/>
        <v>7</v>
      </c>
      <c r="M70" t="str">
        <f>IF(labs!C70="Blood Sugar",IF(labs!D70&gt;120,"High","Low"),"No Blood Sugar")</f>
        <v>High</v>
      </c>
      <c r="N70" t="str">
        <f t="shared" si="5"/>
        <v>High Risk</v>
      </c>
    </row>
    <row r="71" spans="1:14">
      <c r="A71">
        <v>70</v>
      </c>
      <c r="B71" t="s">
        <v>85</v>
      </c>
      <c r="C71">
        <v>76</v>
      </c>
      <c r="D71" t="s">
        <v>15</v>
      </c>
      <c r="E71">
        <v>9</v>
      </c>
      <c r="F71" s="1">
        <v>45699</v>
      </c>
      <c r="G71" s="1">
        <v>45718</v>
      </c>
      <c r="H71">
        <v>2</v>
      </c>
      <c r="I71">
        <v>3625</v>
      </c>
      <c r="J71" t="str">
        <f>VLOOKUP(E71,diagnoses!A$2:B$11,2,FALSE)</f>
        <v>Kidney Disease</v>
      </c>
      <c r="K71" t="str">
        <f>VLOOKUP(H71,outcomes!A$2:B$4,2,0)</f>
        <v>Complicated</v>
      </c>
      <c r="L71">
        <f t="shared" si="4"/>
        <v>19</v>
      </c>
      <c r="M71" t="str">
        <f>IF(labs!C71="Blood Sugar",IF(labs!D71&gt;120,"High","Low"),"No Blood Sugar")</f>
        <v>High</v>
      </c>
      <c r="N71" t="str">
        <f t="shared" si="5"/>
        <v>High Risk</v>
      </c>
    </row>
    <row r="72" spans="1:14">
      <c r="A72">
        <v>71</v>
      </c>
      <c r="B72" t="s">
        <v>86</v>
      </c>
      <c r="C72">
        <v>89</v>
      </c>
      <c r="D72" t="s">
        <v>19</v>
      </c>
      <c r="E72">
        <v>6</v>
      </c>
      <c r="F72" s="1">
        <v>45824</v>
      </c>
      <c r="G72" s="1">
        <v>45832</v>
      </c>
      <c r="H72">
        <v>1</v>
      </c>
      <c r="I72">
        <v>4122</v>
      </c>
      <c r="J72" t="str">
        <f>VLOOKUP(E72,diagnoses!A$2:B$11,2,FALSE)</f>
        <v>COPD</v>
      </c>
      <c r="K72" t="str">
        <f>VLOOKUP(H72,outcomes!A$2:B$4,2,0)</f>
        <v>Recovered</v>
      </c>
      <c r="L72">
        <f t="shared" si="4"/>
        <v>8</v>
      </c>
      <c r="M72" t="str">
        <f>IF(labs!C72="Blood Sugar",IF(labs!D72&gt;120,"High","Low"),"No Blood Sugar")</f>
        <v>No Blood Sugar</v>
      </c>
      <c r="N72" t="str">
        <f t="shared" si="5"/>
        <v>High Risk</v>
      </c>
    </row>
    <row r="73" spans="1:14">
      <c r="A73">
        <v>72</v>
      </c>
      <c r="B73" t="s">
        <v>87</v>
      </c>
      <c r="C73">
        <v>36</v>
      </c>
      <c r="D73" t="s">
        <v>15</v>
      </c>
      <c r="E73">
        <v>7</v>
      </c>
      <c r="F73" s="1">
        <v>45799</v>
      </c>
      <c r="G73" s="1">
        <v>45802</v>
      </c>
      <c r="H73">
        <v>2</v>
      </c>
      <c r="I73">
        <v>9973</v>
      </c>
      <c r="J73" t="str">
        <f>VLOOKUP(E73,diagnoses!A$2:B$11,2,FALSE)</f>
        <v>Cancer</v>
      </c>
      <c r="K73" t="str">
        <f>VLOOKUP(H73,outcomes!A$2:B$4,2,0)</f>
        <v>Complicated</v>
      </c>
      <c r="L73">
        <f t="shared" si="4"/>
        <v>3</v>
      </c>
      <c r="M73" t="str">
        <f>IF(labs!C73="Blood Sugar",IF(labs!D73&gt;120,"High","Low"),"No Blood Sugar")</f>
        <v>No Blood Sugar</v>
      </c>
      <c r="N73" t="str">
        <f t="shared" si="5"/>
        <v>High Risk</v>
      </c>
    </row>
    <row r="74" spans="1:14">
      <c r="A74">
        <v>73</v>
      </c>
      <c r="B74" t="s">
        <v>88</v>
      </c>
      <c r="C74">
        <v>73</v>
      </c>
      <c r="D74" t="s">
        <v>15</v>
      </c>
      <c r="E74">
        <v>10</v>
      </c>
      <c r="F74" s="1">
        <v>45779</v>
      </c>
      <c r="G74" s="1">
        <v>45783</v>
      </c>
      <c r="H74">
        <v>1</v>
      </c>
      <c r="I74">
        <v>2385</v>
      </c>
      <c r="J74" t="str">
        <f>VLOOKUP(E74,diagnoses!A$2:B$11,2,FALSE)</f>
        <v>Liver Disease</v>
      </c>
      <c r="K74" t="str">
        <f>VLOOKUP(H74,outcomes!A$2:B$4,2,0)</f>
        <v>Recovered</v>
      </c>
      <c r="L74">
        <f t="shared" si="4"/>
        <v>4</v>
      </c>
      <c r="M74" t="str">
        <f>IF(labs!C74="Blood Sugar",IF(labs!D74&gt;120,"High","Low"),"No Blood Sugar")</f>
        <v>High</v>
      </c>
      <c r="N74" t="str">
        <f t="shared" si="5"/>
        <v>High Risk</v>
      </c>
    </row>
    <row r="75" spans="1:14">
      <c r="A75">
        <v>74</v>
      </c>
      <c r="B75" t="s">
        <v>89</v>
      </c>
      <c r="C75">
        <v>37</v>
      </c>
      <c r="D75" t="s">
        <v>15</v>
      </c>
      <c r="E75">
        <v>7</v>
      </c>
      <c r="F75" s="1">
        <v>45790</v>
      </c>
      <c r="G75" s="1">
        <v>45796</v>
      </c>
      <c r="H75">
        <v>3</v>
      </c>
      <c r="I75">
        <v>5281</v>
      </c>
      <c r="J75" t="str">
        <f>VLOOKUP(E75,diagnoses!A$2:B$11,2,FALSE)</f>
        <v>Cancer</v>
      </c>
      <c r="K75" t="str">
        <f>VLOOKUP(H75,outcomes!A$2:B$4,2,0)</f>
        <v>Deceased</v>
      </c>
      <c r="L75">
        <f t="shared" si="4"/>
        <v>6</v>
      </c>
      <c r="M75" t="str">
        <f>IF(labs!C75="Blood Sugar",IF(labs!D75&gt;120,"High","Low"),"No Blood Sugar")</f>
        <v>High</v>
      </c>
      <c r="N75" t="str">
        <f t="shared" si="5"/>
        <v>High Risk</v>
      </c>
    </row>
    <row r="76" spans="1:14">
      <c r="A76">
        <v>75</v>
      </c>
      <c r="B76" t="s">
        <v>90</v>
      </c>
      <c r="C76">
        <v>76</v>
      </c>
      <c r="D76" t="s">
        <v>19</v>
      </c>
      <c r="E76">
        <v>10</v>
      </c>
      <c r="F76" s="1">
        <v>45820</v>
      </c>
      <c r="G76" s="1">
        <v>45822</v>
      </c>
      <c r="H76">
        <v>1</v>
      </c>
      <c r="I76">
        <v>2474</v>
      </c>
      <c r="J76" t="str">
        <f>VLOOKUP(E76,diagnoses!A$2:B$11,2,FALSE)</f>
        <v>Liver Disease</v>
      </c>
      <c r="K76" t="str">
        <f>VLOOKUP(H76,outcomes!A$2:B$4,2,0)</f>
        <v>Recovered</v>
      </c>
      <c r="L76">
        <f t="shared" si="4"/>
        <v>2</v>
      </c>
      <c r="M76" t="str">
        <f>IF(labs!C76="Blood Sugar",IF(labs!D76&gt;120,"High","Low"),"No Blood Sugar")</f>
        <v>High</v>
      </c>
      <c r="N76" t="str">
        <f t="shared" si="5"/>
        <v>High Risk</v>
      </c>
    </row>
    <row r="77" spans="1:14">
      <c r="A77">
        <v>76</v>
      </c>
      <c r="B77" t="s">
        <v>91</v>
      </c>
      <c r="C77">
        <v>64</v>
      </c>
      <c r="D77" t="s">
        <v>19</v>
      </c>
      <c r="E77">
        <v>3</v>
      </c>
      <c r="F77" s="1">
        <v>45732</v>
      </c>
      <c r="G77" s="1">
        <v>45747</v>
      </c>
      <c r="H77">
        <v>1</v>
      </c>
      <c r="I77">
        <v>2417</v>
      </c>
      <c r="J77" t="str">
        <f>VLOOKUP(E77,diagnoses!A$2:B$11,2,FALSE)</f>
        <v>Heart Disease</v>
      </c>
      <c r="K77" t="str">
        <f>VLOOKUP(H77,outcomes!A$2:B$4,2,0)</f>
        <v>Recovered</v>
      </c>
      <c r="L77">
        <f t="shared" si="4"/>
        <v>15</v>
      </c>
      <c r="M77" t="str">
        <f>IF(labs!C77="Blood Sugar",IF(labs!D77&gt;120,"High","Low"),"No Blood Sugar")</f>
        <v>No Blood Sugar</v>
      </c>
      <c r="N77" t="str">
        <f t="shared" si="5"/>
        <v>Low Risk</v>
      </c>
    </row>
    <row r="78" spans="1:14">
      <c r="A78">
        <v>77</v>
      </c>
      <c r="B78" t="s">
        <v>92</v>
      </c>
      <c r="C78">
        <v>43</v>
      </c>
      <c r="D78" t="s">
        <v>19</v>
      </c>
      <c r="E78">
        <v>2</v>
      </c>
      <c r="F78" s="1">
        <v>45803</v>
      </c>
      <c r="G78" s="1">
        <v>45805</v>
      </c>
      <c r="H78">
        <v>1</v>
      </c>
      <c r="I78">
        <v>8490</v>
      </c>
      <c r="J78" t="str">
        <f>VLOOKUP(E78,diagnoses!A$2:B$11,2,FALSE)</f>
        <v>Diabetes</v>
      </c>
      <c r="K78" t="str">
        <f>VLOOKUP(H78,outcomes!A$2:B$4,2,0)</f>
        <v>Recovered</v>
      </c>
      <c r="L78">
        <f t="shared" si="4"/>
        <v>2</v>
      </c>
      <c r="M78" t="str">
        <f>IF(labs!C78="Blood Sugar",IF(labs!D78&gt;120,"High","Low"),"No Blood Sugar")</f>
        <v>No Blood Sugar</v>
      </c>
      <c r="N78" t="str">
        <f t="shared" si="5"/>
        <v>Low Risk</v>
      </c>
    </row>
    <row r="79" spans="1:14">
      <c r="A79">
        <v>78</v>
      </c>
      <c r="B79" t="s">
        <v>93</v>
      </c>
      <c r="C79">
        <v>46</v>
      </c>
      <c r="D79" t="s">
        <v>19</v>
      </c>
      <c r="E79">
        <v>9</v>
      </c>
      <c r="F79" s="1">
        <v>45733</v>
      </c>
      <c r="G79" s="1">
        <v>45740</v>
      </c>
      <c r="H79">
        <v>1</v>
      </c>
      <c r="I79">
        <v>5600</v>
      </c>
      <c r="J79" t="str">
        <f>VLOOKUP(E79,diagnoses!A$2:B$11,2,FALSE)</f>
        <v>Kidney Disease</v>
      </c>
      <c r="K79" t="str">
        <f>VLOOKUP(H79,outcomes!A$2:B$4,2,0)</f>
        <v>Recovered</v>
      </c>
      <c r="L79">
        <f t="shared" si="4"/>
        <v>7</v>
      </c>
      <c r="M79" t="str">
        <f>IF(labs!C79="Blood Sugar",IF(labs!D79&gt;120,"High","Low"),"No Blood Sugar")</f>
        <v>No Blood Sugar</v>
      </c>
      <c r="N79" t="str">
        <f t="shared" si="5"/>
        <v>Low Risk</v>
      </c>
    </row>
    <row r="80" spans="1:14">
      <c r="A80">
        <v>79</v>
      </c>
      <c r="B80" t="s">
        <v>94</v>
      </c>
      <c r="C80">
        <v>65</v>
      </c>
      <c r="D80" t="s">
        <v>15</v>
      </c>
      <c r="E80">
        <v>8</v>
      </c>
      <c r="F80" s="1">
        <v>45666</v>
      </c>
      <c r="G80" s="1">
        <v>45798</v>
      </c>
      <c r="H80">
        <v>3</v>
      </c>
      <c r="I80">
        <v>8783</v>
      </c>
      <c r="J80" t="str">
        <f>VLOOKUP(E80,diagnoses!A$2:B$11,2,FALSE)</f>
        <v>Arthritis</v>
      </c>
      <c r="K80" t="str">
        <f>VLOOKUP(H80,outcomes!A$2:B$4,2,0)</f>
        <v>Deceased</v>
      </c>
      <c r="L80">
        <f t="shared" si="4"/>
        <v>132</v>
      </c>
      <c r="M80" t="str">
        <f>IF(labs!C80="Blood Sugar",IF(labs!D80&gt;120,"High","Low"),"No Blood Sugar")</f>
        <v>No Blood Sugar</v>
      </c>
      <c r="N80" t="str">
        <f t="shared" si="5"/>
        <v>High Risk</v>
      </c>
    </row>
    <row r="81" spans="1:14">
      <c r="A81">
        <v>80</v>
      </c>
      <c r="B81" t="s">
        <v>95</v>
      </c>
      <c r="C81">
        <v>79</v>
      </c>
      <c r="D81" t="s">
        <v>15</v>
      </c>
      <c r="E81">
        <v>10</v>
      </c>
      <c r="F81" s="1">
        <v>45731</v>
      </c>
      <c r="G81" s="1">
        <v>45804</v>
      </c>
      <c r="H81">
        <v>3</v>
      </c>
      <c r="I81">
        <v>7034</v>
      </c>
      <c r="J81" t="str">
        <f>VLOOKUP(E81,diagnoses!A$2:B$11,2,FALSE)</f>
        <v>Liver Disease</v>
      </c>
      <c r="K81" t="str">
        <f>VLOOKUP(H81,outcomes!A$2:B$4,2,0)</f>
        <v>Deceased</v>
      </c>
      <c r="L81">
        <f t="shared" si="4"/>
        <v>73</v>
      </c>
      <c r="M81" t="str">
        <f>IF(labs!C81="Blood Sugar",IF(labs!D81&gt;120,"High","Low"),"No Blood Sugar")</f>
        <v>No Blood Sugar</v>
      </c>
      <c r="N81" t="str">
        <f t="shared" si="5"/>
        <v>High Risk</v>
      </c>
    </row>
    <row r="82" spans="1:14">
      <c r="A82">
        <v>81</v>
      </c>
      <c r="B82" t="s">
        <v>96</v>
      </c>
      <c r="C82">
        <v>69</v>
      </c>
      <c r="D82" t="s">
        <v>19</v>
      </c>
      <c r="E82">
        <v>7</v>
      </c>
      <c r="F82" s="1">
        <v>45802</v>
      </c>
      <c r="G82" s="1">
        <v>45811</v>
      </c>
      <c r="H82">
        <v>2</v>
      </c>
      <c r="I82">
        <v>2954</v>
      </c>
      <c r="J82" t="str">
        <f>VLOOKUP(E82,diagnoses!A$2:B$11,2,FALSE)</f>
        <v>Cancer</v>
      </c>
      <c r="K82" t="str">
        <f>VLOOKUP(H82,outcomes!A$2:B$4,2,0)</f>
        <v>Complicated</v>
      </c>
      <c r="L82">
        <f t="shared" si="4"/>
        <v>9</v>
      </c>
      <c r="M82" t="str">
        <f>IF(labs!C82="Blood Sugar",IF(labs!D82&gt;120,"High","Low"),"No Blood Sugar")</f>
        <v>No Blood Sugar</v>
      </c>
      <c r="N82" t="str">
        <f t="shared" si="5"/>
        <v>High Risk</v>
      </c>
    </row>
    <row r="83" spans="1:14">
      <c r="A83">
        <v>82</v>
      </c>
      <c r="B83" t="s">
        <v>97</v>
      </c>
      <c r="C83">
        <v>33</v>
      </c>
      <c r="D83" t="s">
        <v>15</v>
      </c>
      <c r="E83">
        <v>9</v>
      </c>
      <c r="F83" s="1">
        <v>45664</v>
      </c>
      <c r="G83" s="1">
        <v>45740</v>
      </c>
      <c r="H83">
        <v>3</v>
      </c>
      <c r="I83">
        <v>6971</v>
      </c>
      <c r="J83" t="str">
        <f>VLOOKUP(E83,diagnoses!A$2:B$11,2,FALSE)</f>
        <v>Kidney Disease</v>
      </c>
      <c r="K83" t="str">
        <f>VLOOKUP(H83,outcomes!A$2:B$4,2,0)</f>
        <v>Deceased</v>
      </c>
      <c r="L83">
        <f t="shared" si="4"/>
        <v>76</v>
      </c>
      <c r="M83" t="str">
        <f>IF(labs!C83="Blood Sugar",IF(labs!D83&gt;120,"High","Low"),"No Blood Sugar")</f>
        <v>No Blood Sugar</v>
      </c>
      <c r="N83" t="str">
        <f t="shared" si="5"/>
        <v>High Risk</v>
      </c>
    </row>
    <row r="84" spans="1:14">
      <c r="A84">
        <v>83</v>
      </c>
      <c r="B84" t="s">
        <v>98</v>
      </c>
      <c r="C84">
        <v>31</v>
      </c>
      <c r="D84" t="s">
        <v>15</v>
      </c>
      <c r="E84">
        <v>4</v>
      </c>
      <c r="F84" s="1">
        <v>45831</v>
      </c>
      <c r="G84" s="1">
        <v>45833</v>
      </c>
      <c r="H84">
        <v>3</v>
      </c>
      <c r="I84">
        <v>6858</v>
      </c>
      <c r="J84" t="str">
        <f>VLOOKUP(E84,diagnoses!A$2:B$11,2,FALSE)</f>
        <v>Asthma</v>
      </c>
      <c r="K84" t="str">
        <f>VLOOKUP(H84,outcomes!A$2:B$4,2,0)</f>
        <v>Deceased</v>
      </c>
      <c r="L84">
        <f t="shared" si="4"/>
        <v>2</v>
      </c>
      <c r="M84" t="str">
        <f>IF(labs!C84="Blood Sugar",IF(labs!D84&gt;120,"High","Low"),"No Blood Sugar")</f>
        <v>No Blood Sugar</v>
      </c>
      <c r="N84" t="str">
        <f t="shared" si="5"/>
        <v>High Risk</v>
      </c>
    </row>
    <row r="85" spans="1:14">
      <c r="A85">
        <v>84</v>
      </c>
      <c r="B85" t="s">
        <v>99</v>
      </c>
      <c r="C85">
        <v>35</v>
      </c>
      <c r="D85" t="s">
        <v>15</v>
      </c>
      <c r="E85">
        <v>4</v>
      </c>
      <c r="F85" s="1">
        <v>45798</v>
      </c>
      <c r="G85" s="1">
        <v>45804</v>
      </c>
      <c r="H85">
        <v>2</v>
      </c>
      <c r="I85">
        <v>7298</v>
      </c>
      <c r="J85" t="str">
        <f>VLOOKUP(E85,diagnoses!A$2:B$11,2,FALSE)</f>
        <v>Asthma</v>
      </c>
      <c r="K85" t="str">
        <f>VLOOKUP(H85,outcomes!A$2:B$4,2,0)</f>
        <v>Complicated</v>
      </c>
      <c r="L85">
        <f t="shared" si="4"/>
        <v>6</v>
      </c>
      <c r="M85" t="str">
        <f>IF(labs!C85="Blood Sugar",IF(labs!D85&gt;120,"High","Low"),"No Blood Sugar")</f>
        <v>No Blood Sugar</v>
      </c>
      <c r="N85" t="str">
        <f t="shared" si="5"/>
        <v>High Risk</v>
      </c>
    </row>
    <row r="86" spans="1:14">
      <c r="A86">
        <v>85</v>
      </c>
      <c r="B86" t="s">
        <v>100</v>
      </c>
      <c r="C86">
        <v>83</v>
      </c>
      <c r="D86" t="s">
        <v>19</v>
      </c>
      <c r="E86">
        <v>1</v>
      </c>
      <c r="F86" s="1">
        <v>45825</v>
      </c>
      <c r="G86" s="1">
        <v>45831</v>
      </c>
      <c r="H86">
        <v>3</v>
      </c>
      <c r="I86">
        <v>3205</v>
      </c>
      <c r="J86" t="str">
        <f>VLOOKUP(E86,diagnoses!A$2:B$11,2,FALSE)</f>
        <v>Hypertension</v>
      </c>
      <c r="K86" t="str">
        <f>VLOOKUP(H86,outcomes!A$2:B$4,2,0)</f>
        <v>Deceased</v>
      </c>
      <c r="L86">
        <f t="shared" si="4"/>
        <v>6</v>
      </c>
      <c r="M86" t="str">
        <f>IF(labs!C86="Blood Sugar",IF(labs!D86&gt;120,"High","Low"),"No Blood Sugar")</f>
        <v>No Blood Sugar</v>
      </c>
      <c r="N86" t="str">
        <f t="shared" si="5"/>
        <v>High Risk</v>
      </c>
    </row>
    <row r="87" spans="1:14">
      <c r="A87">
        <v>86</v>
      </c>
      <c r="B87" t="s">
        <v>101</v>
      </c>
      <c r="C87">
        <v>71</v>
      </c>
      <c r="D87" t="s">
        <v>19</v>
      </c>
      <c r="E87">
        <v>8</v>
      </c>
      <c r="F87" s="1">
        <v>45827</v>
      </c>
      <c r="G87" s="1">
        <v>45837</v>
      </c>
      <c r="H87">
        <v>1</v>
      </c>
      <c r="I87">
        <v>6759</v>
      </c>
      <c r="J87" t="str">
        <f>VLOOKUP(E87,diagnoses!A$2:B$11,2,FALSE)</f>
        <v>Arthritis</v>
      </c>
      <c r="K87" t="str">
        <f>VLOOKUP(H87,outcomes!A$2:B$4,2,0)</f>
        <v>Recovered</v>
      </c>
      <c r="L87">
        <f t="shared" si="4"/>
        <v>10</v>
      </c>
      <c r="M87" t="str">
        <f>IF(labs!C87="Blood Sugar",IF(labs!D87&gt;120,"High","Low"),"No Blood Sugar")</f>
        <v>No Blood Sugar</v>
      </c>
      <c r="N87" t="str">
        <f t="shared" si="5"/>
        <v>High Risk</v>
      </c>
    </row>
    <row r="88" spans="1:14">
      <c r="A88">
        <v>87</v>
      </c>
      <c r="B88" t="s">
        <v>102</v>
      </c>
      <c r="C88">
        <v>33</v>
      </c>
      <c r="D88" t="s">
        <v>15</v>
      </c>
      <c r="E88">
        <v>3</v>
      </c>
      <c r="F88" s="1">
        <v>45794</v>
      </c>
      <c r="G88" s="1">
        <v>45799</v>
      </c>
      <c r="H88">
        <v>1</v>
      </c>
      <c r="I88">
        <v>6120</v>
      </c>
      <c r="J88" t="str">
        <f>VLOOKUP(E88,diagnoses!A$2:B$11,2,FALSE)</f>
        <v>Heart Disease</v>
      </c>
      <c r="K88" t="str">
        <f>VLOOKUP(H88,outcomes!A$2:B$4,2,0)</f>
        <v>Recovered</v>
      </c>
      <c r="L88">
        <f t="shared" si="4"/>
        <v>5</v>
      </c>
      <c r="M88" t="str">
        <f>IF(labs!C88="Blood Sugar",IF(labs!D88&gt;120,"High","Low"),"No Blood Sugar")</f>
        <v>No Blood Sugar</v>
      </c>
      <c r="N88" t="str">
        <f t="shared" si="5"/>
        <v>Low Risk</v>
      </c>
    </row>
    <row r="89" spans="1:14">
      <c r="A89">
        <v>88</v>
      </c>
      <c r="B89" t="s">
        <v>103</v>
      </c>
      <c r="C89">
        <v>83</v>
      </c>
      <c r="D89" t="s">
        <v>19</v>
      </c>
      <c r="E89">
        <v>7</v>
      </c>
      <c r="F89" s="1">
        <v>45835</v>
      </c>
      <c r="G89" s="1">
        <v>45836</v>
      </c>
      <c r="H89">
        <v>2</v>
      </c>
      <c r="I89">
        <v>3990</v>
      </c>
      <c r="J89" t="str">
        <f>VLOOKUP(E89,diagnoses!A$2:B$11,2,FALSE)</f>
        <v>Cancer</v>
      </c>
      <c r="K89" t="str">
        <f>VLOOKUP(H89,outcomes!A$2:B$4,2,0)</f>
        <v>Complicated</v>
      </c>
      <c r="L89">
        <f t="shared" si="4"/>
        <v>1</v>
      </c>
      <c r="M89" t="str">
        <f>IF(labs!C89="Blood Sugar",IF(labs!D89&gt;120,"High","Low"),"No Blood Sugar")</f>
        <v>No Blood Sugar</v>
      </c>
      <c r="N89" t="str">
        <f t="shared" si="5"/>
        <v>High Risk</v>
      </c>
    </row>
    <row r="90" spans="1:14">
      <c r="A90">
        <v>89</v>
      </c>
      <c r="B90" t="s">
        <v>104</v>
      </c>
      <c r="C90">
        <v>58</v>
      </c>
      <c r="D90" t="s">
        <v>19</v>
      </c>
      <c r="E90">
        <v>2</v>
      </c>
      <c r="F90" s="1">
        <v>45684</v>
      </c>
      <c r="G90" s="1">
        <v>45792</v>
      </c>
      <c r="H90">
        <v>2</v>
      </c>
      <c r="I90">
        <v>7299</v>
      </c>
      <c r="J90" t="str">
        <f>VLOOKUP(E90,diagnoses!A$2:B$11,2,FALSE)</f>
        <v>Diabetes</v>
      </c>
      <c r="K90" t="str">
        <f>VLOOKUP(H90,outcomes!A$2:B$4,2,0)</f>
        <v>Complicated</v>
      </c>
      <c r="L90">
        <f t="shared" si="4"/>
        <v>108</v>
      </c>
      <c r="M90" t="str">
        <f>IF(labs!C90="Blood Sugar",IF(labs!D90&gt;120,"High","Low"),"No Blood Sugar")</f>
        <v>No Blood Sugar</v>
      </c>
      <c r="N90" t="str">
        <f t="shared" si="5"/>
        <v>High Risk</v>
      </c>
    </row>
    <row r="91" spans="1:14">
      <c r="A91">
        <v>90</v>
      </c>
      <c r="B91" t="s">
        <v>105</v>
      </c>
      <c r="C91">
        <v>47</v>
      </c>
      <c r="D91" t="s">
        <v>19</v>
      </c>
      <c r="E91">
        <v>2</v>
      </c>
      <c r="F91" s="1">
        <v>45779</v>
      </c>
      <c r="G91" s="1">
        <v>45787</v>
      </c>
      <c r="H91">
        <v>2</v>
      </c>
      <c r="I91">
        <v>6805</v>
      </c>
      <c r="J91" t="str">
        <f>VLOOKUP(E91,diagnoses!A$2:B$11,2,FALSE)</f>
        <v>Diabetes</v>
      </c>
      <c r="K91" t="str">
        <f>VLOOKUP(H91,outcomes!A$2:B$4,2,0)</f>
        <v>Complicated</v>
      </c>
      <c r="L91">
        <f t="shared" si="4"/>
        <v>8</v>
      </c>
      <c r="M91" t="str">
        <f>IF(labs!C91="Blood Sugar",IF(labs!D91&gt;120,"High","Low"),"No Blood Sugar")</f>
        <v>No Blood Sugar</v>
      </c>
      <c r="N91" t="str">
        <f t="shared" si="5"/>
        <v>High Risk</v>
      </c>
    </row>
    <row r="92" spans="1:14">
      <c r="A92">
        <v>91</v>
      </c>
      <c r="B92" t="s">
        <v>106</v>
      </c>
      <c r="C92">
        <v>55</v>
      </c>
      <c r="D92" t="s">
        <v>19</v>
      </c>
      <c r="E92">
        <v>7</v>
      </c>
      <c r="F92" s="1">
        <v>45662</v>
      </c>
      <c r="G92" s="1">
        <v>45781</v>
      </c>
      <c r="H92">
        <v>1</v>
      </c>
      <c r="I92">
        <v>5572</v>
      </c>
      <c r="J92" t="str">
        <f>VLOOKUP(E92,diagnoses!A$2:B$11,2,FALSE)</f>
        <v>Cancer</v>
      </c>
      <c r="K92" t="str">
        <f>VLOOKUP(H92,outcomes!A$2:B$4,2,0)</f>
        <v>Recovered</v>
      </c>
      <c r="L92">
        <f t="shared" si="4"/>
        <v>119</v>
      </c>
      <c r="M92" t="str">
        <f>IF(labs!C92="Blood Sugar",IF(labs!D92&gt;120,"High","Low"),"No Blood Sugar")</f>
        <v>Low</v>
      </c>
      <c r="N92" t="str">
        <f t="shared" si="5"/>
        <v>Low Risk</v>
      </c>
    </row>
    <row r="93" spans="1:14">
      <c r="A93">
        <v>92</v>
      </c>
      <c r="B93" t="s">
        <v>107</v>
      </c>
      <c r="C93">
        <v>73</v>
      </c>
      <c r="D93" t="s">
        <v>19</v>
      </c>
      <c r="E93">
        <v>6</v>
      </c>
      <c r="F93" s="1">
        <v>45686</v>
      </c>
      <c r="G93" s="1">
        <v>45777</v>
      </c>
      <c r="H93">
        <v>3</v>
      </c>
      <c r="I93">
        <v>7975</v>
      </c>
      <c r="J93" t="str">
        <f>VLOOKUP(E93,diagnoses!A$2:B$11,2,FALSE)</f>
        <v>COPD</v>
      </c>
      <c r="K93" t="str">
        <f>VLOOKUP(H93,outcomes!A$2:B$4,2,0)</f>
        <v>Deceased</v>
      </c>
      <c r="L93">
        <f t="shared" si="4"/>
        <v>91</v>
      </c>
      <c r="M93" t="str">
        <f>IF(labs!C93="Blood Sugar",IF(labs!D93&gt;120,"High","Low"),"No Blood Sugar")</f>
        <v>No Blood Sugar</v>
      </c>
      <c r="N93" t="str">
        <f t="shared" si="5"/>
        <v>High Risk</v>
      </c>
    </row>
    <row r="94" spans="1:14">
      <c r="A94">
        <v>93</v>
      </c>
      <c r="B94" t="s">
        <v>108</v>
      </c>
      <c r="C94">
        <v>63</v>
      </c>
      <c r="D94" t="s">
        <v>15</v>
      </c>
      <c r="E94">
        <v>3</v>
      </c>
      <c r="F94" s="1">
        <v>45822</v>
      </c>
      <c r="G94" s="1">
        <v>45831</v>
      </c>
      <c r="H94">
        <v>1</v>
      </c>
      <c r="I94">
        <v>7280</v>
      </c>
      <c r="J94" t="str">
        <f>VLOOKUP(E94,diagnoses!A$2:B$11,2,FALSE)</f>
        <v>Heart Disease</v>
      </c>
      <c r="K94" t="str">
        <f>VLOOKUP(H94,outcomes!A$2:B$4,2,0)</f>
        <v>Recovered</v>
      </c>
      <c r="L94">
        <f t="shared" si="4"/>
        <v>9</v>
      </c>
      <c r="M94" t="str">
        <f>IF(labs!C94="Blood Sugar",IF(labs!D94&gt;120,"High","Low"),"No Blood Sugar")</f>
        <v>No Blood Sugar</v>
      </c>
      <c r="N94" t="str">
        <f t="shared" si="5"/>
        <v>Low Risk</v>
      </c>
    </row>
    <row r="95" spans="1:14">
      <c r="A95">
        <v>94</v>
      </c>
      <c r="B95" t="s">
        <v>109</v>
      </c>
      <c r="C95">
        <v>39</v>
      </c>
      <c r="D95" t="s">
        <v>19</v>
      </c>
      <c r="E95">
        <v>9</v>
      </c>
      <c r="F95" s="1">
        <v>45823</v>
      </c>
      <c r="G95" s="1">
        <v>45825</v>
      </c>
      <c r="H95">
        <v>2</v>
      </c>
      <c r="I95">
        <v>8320</v>
      </c>
      <c r="J95" t="str">
        <f>VLOOKUP(E95,diagnoses!A$2:B$11,2,FALSE)</f>
        <v>Kidney Disease</v>
      </c>
      <c r="K95" t="str">
        <f>VLOOKUP(H95,outcomes!A$2:B$4,2,0)</f>
        <v>Complicated</v>
      </c>
      <c r="L95">
        <f t="shared" si="4"/>
        <v>2</v>
      </c>
      <c r="M95" t="str">
        <f>IF(labs!C95="Blood Sugar",IF(labs!D95&gt;120,"High","Low"),"No Blood Sugar")</f>
        <v>No Blood Sugar</v>
      </c>
      <c r="N95" t="str">
        <f t="shared" si="5"/>
        <v>High Risk</v>
      </c>
    </row>
    <row r="96" spans="1:14">
      <c r="A96">
        <v>95</v>
      </c>
      <c r="B96" t="s">
        <v>110</v>
      </c>
      <c r="C96">
        <v>65</v>
      </c>
      <c r="D96" t="s">
        <v>15</v>
      </c>
      <c r="E96">
        <v>10</v>
      </c>
      <c r="F96" s="1">
        <v>45740</v>
      </c>
      <c r="G96" s="1">
        <v>45761</v>
      </c>
      <c r="H96">
        <v>3</v>
      </c>
      <c r="I96">
        <v>6380</v>
      </c>
      <c r="J96" t="str">
        <f>VLOOKUP(E96,diagnoses!A$2:B$11,2,FALSE)</f>
        <v>Liver Disease</v>
      </c>
      <c r="K96" t="str">
        <f>VLOOKUP(H96,outcomes!A$2:B$4,2,0)</f>
        <v>Deceased</v>
      </c>
      <c r="L96">
        <f t="shared" si="4"/>
        <v>21</v>
      </c>
      <c r="M96" t="str">
        <f>IF(labs!C96="Blood Sugar",IF(labs!D96&gt;120,"High","Low"),"No Blood Sugar")</f>
        <v>No Blood Sugar</v>
      </c>
      <c r="N96" t="str">
        <f t="shared" si="5"/>
        <v>High Risk</v>
      </c>
    </row>
    <row r="97" spans="1:14">
      <c r="A97">
        <v>96</v>
      </c>
      <c r="B97" t="s">
        <v>111</v>
      </c>
      <c r="C97">
        <v>43</v>
      </c>
      <c r="D97" t="s">
        <v>15</v>
      </c>
      <c r="E97">
        <v>6</v>
      </c>
      <c r="F97" s="1">
        <v>45793</v>
      </c>
      <c r="G97" s="1">
        <v>45800</v>
      </c>
      <c r="H97">
        <v>3</v>
      </c>
      <c r="I97">
        <v>6158</v>
      </c>
      <c r="J97" t="str">
        <f>VLOOKUP(E97,diagnoses!A$2:B$11,2,FALSE)</f>
        <v>COPD</v>
      </c>
      <c r="K97" t="str">
        <f>VLOOKUP(H97,outcomes!A$2:B$4,2,0)</f>
        <v>Deceased</v>
      </c>
      <c r="L97">
        <f t="shared" si="4"/>
        <v>7</v>
      </c>
      <c r="M97" t="str">
        <f>IF(labs!C97="Blood Sugar",IF(labs!D97&gt;120,"High","Low"),"No Blood Sugar")</f>
        <v>No Blood Sugar</v>
      </c>
      <c r="N97" t="str">
        <f t="shared" si="5"/>
        <v>High Risk</v>
      </c>
    </row>
    <row r="98" spans="1:14">
      <c r="A98">
        <v>97</v>
      </c>
      <c r="B98" t="s">
        <v>112</v>
      </c>
      <c r="C98">
        <v>60</v>
      </c>
      <c r="D98" t="s">
        <v>19</v>
      </c>
      <c r="E98">
        <v>10</v>
      </c>
      <c r="F98" s="1">
        <v>45766</v>
      </c>
      <c r="G98" s="1">
        <v>45810</v>
      </c>
      <c r="H98">
        <v>1</v>
      </c>
      <c r="I98">
        <v>7098</v>
      </c>
      <c r="J98" t="str">
        <f>VLOOKUP(E98,diagnoses!A$2:B$11,2,FALSE)</f>
        <v>Liver Disease</v>
      </c>
      <c r="K98" t="str">
        <f>VLOOKUP(H98,outcomes!A$2:B$4,2,0)</f>
        <v>Recovered</v>
      </c>
      <c r="L98">
        <f t="shared" si="4"/>
        <v>44</v>
      </c>
      <c r="M98" t="str">
        <f>IF(labs!C98="Blood Sugar",IF(labs!D98&gt;120,"High","Low"),"No Blood Sugar")</f>
        <v>No Blood Sugar</v>
      </c>
      <c r="N98" t="str">
        <f t="shared" si="5"/>
        <v>Low Risk</v>
      </c>
    </row>
    <row r="99" spans="1:14">
      <c r="A99">
        <v>98</v>
      </c>
      <c r="B99" t="s">
        <v>113</v>
      </c>
      <c r="C99">
        <v>77</v>
      </c>
      <c r="D99" t="s">
        <v>15</v>
      </c>
      <c r="E99">
        <v>10</v>
      </c>
      <c r="F99" s="1">
        <v>45722</v>
      </c>
      <c r="G99" s="1">
        <v>45724</v>
      </c>
      <c r="H99">
        <v>2</v>
      </c>
      <c r="I99">
        <v>6757</v>
      </c>
      <c r="J99" t="str">
        <f>VLOOKUP(E99,diagnoses!A$2:B$11,2,FALSE)</f>
        <v>Liver Disease</v>
      </c>
      <c r="K99" t="str">
        <f>VLOOKUP(H99,outcomes!A$2:B$4,2,0)</f>
        <v>Complicated</v>
      </c>
      <c r="L99">
        <f t="shared" ref="L99:L130" si="6">DATEDIF(F99,G99,"D")</f>
        <v>2</v>
      </c>
      <c r="M99" t="str">
        <f>IF(labs!C99="Blood Sugar",IF(labs!D99&gt;120,"High","Low"),"No Blood Sugar")</f>
        <v>No Blood Sugar</v>
      </c>
      <c r="N99" t="str">
        <f t="shared" ref="N99:N130" si="7">IF(OR(C99&gt;65,H99&gt;1),"High Risk","Low Risk")</f>
        <v>High Risk</v>
      </c>
    </row>
    <row r="100" spans="1:14">
      <c r="A100">
        <v>99</v>
      </c>
      <c r="B100" t="s">
        <v>114</v>
      </c>
      <c r="C100">
        <v>44</v>
      </c>
      <c r="D100" t="s">
        <v>15</v>
      </c>
      <c r="E100">
        <v>6</v>
      </c>
      <c r="F100" s="1">
        <v>45743</v>
      </c>
      <c r="G100" s="1">
        <v>45798</v>
      </c>
      <c r="H100">
        <v>1</v>
      </c>
      <c r="I100">
        <v>4713</v>
      </c>
      <c r="J100" t="str">
        <f>VLOOKUP(E100,diagnoses!A$2:B$11,2,FALSE)</f>
        <v>COPD</v>
      </c>
      <c r="K100" t="str">
        <f>VLOOKUP(H100,outcomes!A$2:B$4,2,0)</f>
        <v>Recovered</v>
      </c>
      <c r="L100">
        <f t="shared" si="6"/>
        <v>55</v>
      </c>
      <c r="M100" t="str">
        <f>IF(labs!C100="Blood Sugar",IF(labs!D100&gt;120,"High","Low"),"No Blood Sugar")</f>
        <v>No Blood Sugar</v>
      </c>
      <c r="N100" t="str">
        <f t="shared" si="7"/>
        <v>Low Risk</v>
      </c>
    </row>
    <row r="101" spans="1:14">
      <c r="A101">
        <v>100</v>
      </c>
      <c r="B101" t="s">
        <v>115</v>
      </c>
      <c r="C101">
        <v>37</v>
      </c>
      <c r="D101" t="s">
        <v>15</v>
      </c>
      <c r="E101">
        <v>1</v>
      </c>
      <c r="F101" s="1">
        <v>45802</v>
      </c>
      <c r="G101" s="1">
        <v>45811</v>
      </c>
      <c r="H101">
        <v>3</v>
      </c>
      <c r="I101">
        <v>4203</v>
      </c>
      <c r="J101" t="str">
        <f>VLOOKUP(E101,diagnoses!A$2:B$11,2,FALSE)</f>
        <v>Hypertension</v>
      </c>
      <c r="K101" t="str">
        <f>VLOOKUP(H101,outcomes!A$2:B$4,2,0)</f>
        <v>Deceased</v>
      </c>
      <c r="L101">
        <f t="shared" si="6"/>
        <v>9</v>
      </c>
      <c r="M101" t="str">
        <f>IF(labs!C101="Blood Sugar",IF(labs!D101&gt;120,"High","Low"),"No Blood Sugar")</f>
        <v>No Blood Sugar</v>
      </c>
      <c r="N101" t="str">
        <f t="shared" si="7"/>
        <v>High Risk</v>
      </c>
    </row>
    <row r="102" spans="1:14">
      <c r="A102">
        <v>101</v>
      </c>
      <c r="B102" t="s">
        <v>116</v>
      </c>
      <c r="C102">
        <v>43</v>
      </c>
      <c r="D102" t="s">
        <v>19</v>
      </c>
      <c r="E102">
        <v>4</v>
      </c>
      <c r="F102" s="1">
        <v>45728</v>
      </c>
      <c r="G102" s="1">
        <v>45798</v>
      </c>
      <c r="H102">
        <v>1</v>
      </c>
      <c r="I102">
        <v>7588</v>
      </c>
      <c r="J102" t="str">
        <f>VLOOKUP(E102,diagnoses!A$2:B$11,2,FALSE)</f>
        <v>Asthma</v>
      </c>
      <c r="K102" t="str">
        <f>VLOOKUP(H102,outcomes!A$2:B$4,2,0)</f>
        <v>Recovered</v>
      </c>
      <c r="L102">
        <f t="shared" si="6"/>
        <v>70</v>
      </c>
      <c r="M102" t="str">
        <f>IF(labs!C102="Blood Sugar",IF(labs!D102&gt;120,"High","Low"),"No Blood Sugar")</f>
        <v>No Blood Sugar</v>
      </c>
      <c r="N102" t="str">
        <f t="shared" si="7"/>
        <v>Low Risk</v>
      </c>
    </row>
    <row r="103" spans="1:14">
      <c r="A103">
        <v>102</v>
      </c>
      <c r="B103" t="s">
        <v>117</v>
      </c>
      <c r="C103">
        <v>52</v>
      </c>
      <c r="D103" t="s">
        <v>19</v>
      </c>
      <c r="E103">
        <v>10</v>
      </c>
      <c r="F103" s="1">
        <v>45702</v>
      </c>
      <c r="G103" s="1">
        <v>45707</v>
      </c>
      <c r="H103">
        <v>1</v>
      </c>
      <c r="I103">
        <v>5120</v>
      </c>
      <c r="J103" t="str">
        <f>VLOOKUP(E103,diagnoses!A$2:B$11,2,FALSE)</f>
        <v>Liver Disease</v>
      </c>
      <c r="K103" t="str">
        <f>VLOOKUP(H103,outcomes!A$2:B$4,2,0)</f>
        <v>Recovered</v>
      </c>
      <c r="L103">
        <f t="shared" si="6"/>
        <v>5</v>
      </c>
      <c r="M103" t="str">
        <f>IF(labs!C103="Blood Sugar",IF(labs!D103&gt;120,"High","Low"),"No Blood Sugar")</f>
        <v>No Blood Sugar</v>
      </c>
      <c r="N103" t="str">
        <f t="shared" si="7"/>
        <v>Low Risk</v>
      </c>
    </row>
    <row r="104" spans="1:14">
      <c r="A104">
        <v>103</v>
      </c>
      <c r="B104" t="s">
        <v>118</v>
      </c>
      <c r="C104">
        <v>89</v>
      </c>
      <c r="D104" t="s">
        <v>15</v>
      </c>
      <c r="E104">
        <v>6</v>
      </c>
      <c r="F104" s="1">
        <v>45789</v>
      </c>
      <c r="G104" s="1">
        <v>45799</v>
      </c>
      <c r="H104">
        <v>2</v>
      </c>
      <c r="I104">
        <v>2966</v>
      </c>
      <c r="J104" t="str">
        <f>VLOOKUP(E104,diagnoses!A$2:B$11,2,FALSE)</f>
        <v>COPD</v>
      </c>
      <c r="K104" t="str">
        <f>VLOOKUP(H104,outcomes!A$2:B$4,2,0)</f>
        <v>Complicated</v>
      </c>
      <c r="L104">
        <f t="shared" si="6"/>
        <v>10</v>
      </c>
      <c r="M104" t="str">
        <f>IF(labs!C104="Blood Sugar",IF(labs!D104&gt;120,"High","Low"),"No Blood Sugar")</f>
        <v>No Blood Sugar</v>
      </c>
      <c r="N104" t="str">
        <f t="shared" si="7"/>
        <v>High Risk</v>
      </c>
    </row>
    <row r="105" spans="1:14">
      <c r="A105">
        <v>104</v>
      </c>
      <c r="B105" t="s">
        <v>119</v>
      </c>
      <c r="C105">
        <v>86</v>
      </c>
      <c r="D105" t="s">
        <v>19</v>
      </c>
      <c r="E105">
        <v>6</v>
      </c>
      <c r="F105" s="1">
        <v>45693</v>
      </c>
      <c r="G105" s="1">
        <v>45821</v>
      </c>
      <c r="H105">
        <v>2</v>
      </c>
      <c r="I105">
        <v>6944</v>
      </c>
      <c r="J105" t="str">
        <f>VLOOKUP(E105,diagnoses!A$2:B$11,2,FALSE)</f>
        <v>COPD</v>
      </c>
      <c r="K105" t="str">
        <f>VLOOKUP(H105,outcomes!A$2:B$4,2,0)</f>
        <v>Complicated</v>
      </c>
      <c r="L105">
        <f t="shared" si="6"/>
        <v>128</v>
      </c>
      <c r="M105" t="str">
        <f>IF(labs!C105="Blood Sugar",IF(labs!D105&gt;120,"High","Low"),"No Blood Sugar")</f>
        <v>No Blood Sugar</v>
      </c>
      <c r="N105" t="str">
        <f t="shared" si="7"/>
        <v>High Risk</v>
      </c>
    </row>
    <row r="106" spans="1:14">
      <c r="A106">
        <v>105</v>
      </c>
      <c r="B106" t="s">
        <v>120</v>
      </c>
      <c r="C106">
        <v>69</v>
      </c>
      <c r="D106" t="s">
        <v>19</v>
      </c>
      <c r="E106">
        <v>5</v>
      </c>
      <c r="F106" s="1">
        <v>45727</v>
      </c>
      <c r="G106" s="1">
        <v>45759</v>
      </c>
      <c r="H106">
        <v>3</v>
      </c>
      <c r="I106">
        <v>7203</v>
      </c>
      <c r="J106" t="str">
        <f>VLOOKUP(E106,diagnoses!A$2:B$11,2,FALSE)</f>
        <v>Stroke</v>
      </c>
      <c r="K106" t="str">
        <f>VLOOKUP(H106,outcomes!A$2:B$4,2,0)</f>
        <v>Deceased</v>
      </c>
      <c r="L106">
        <f t="shared" si="6"/>
        <v>32</v>
      </c>
      <c r="M106" t="str">
        <f>IF(labs!C106="Blood Sugar",IF(labs!D106&gt;120,"High","Low"),"No Blood Sugar")</f>
        <v>Low</v>
      </c>
      <c r="N106" t="str">
        <f t="shared" si="7"/>
        <v>High Risk</v>
      </c>
    </row>
    <row r="107" spans="1:14">
      <c r="A107">
        <v>106</v>
      </c>
      <c r="B107" t="s">
        <v>121</v>
      </c>
      <c r="C107">
        <v>50</v>
      </c>
      <c r="D107" t="s">
        <v>19</v>
      </c>
      <c r="E107">
        <v>1</v>
      </c>
      <c r="F107" s="1">
        <v>45816</v>
      </c>
      <c r="G107" s="1">
        <v>45826</v>
      </c>
      <c r="H107">
        <v>1</v>
      </c>
      <c r="I107">
        <v>5432</v>
      </c>
      <c r="J107" t="str">
        <f>VLOOKUP(E107,diagnoses!A$2:B$11,2,FALSE)</f>
        <v>Hypertension</v>
      </c>
      <c r="K107" t="str">
        <f>VLOOKUP(H107,outcomes!A$2:B$4,2,0)</f>
        <v>Recovered</v>
      </c>
      <c r="L107">
        <f t="shared" si="6"/>
        <v>10</v>
      </c>
      <c r="M107" t="str">
        <f>IF(labs!C107="Blood Sugar",IF(labs!D107&gt;120,"High","Low"),"No Blood Sugar")</f>
        <v>No Blood Sugar</v>
      </c>
      <c r="N107" t="str">
        <f t="shared" si="7"/>
        <v>Low Risk</v>
      </c>
    </row>
    <row r="108" spans="1:14">
      <c r="A108">
        <v>107</v>
      </c>
      <c r="B108" t="s">
        <v>122</v>
      </c>
      <c r="C108">
        <v>45</v>
      </c>
      <c r="D108" t="s">
        <v>19</v>
      </c>
      <c r="E108">
        <v>8</v>
      </c>
      <c r="F108" s="1">
        <v>45676</v>
      </c>
      <c r="G108" s="1">
        <v>45844</v>
      </c>
      <c r="H108">
        <v>1</v>
      </c>
      <c r="I108">
        <v>2688</v>
      </c>
      <c r="J108" t="str">
        <f>VLOOKUP(E108,diagnoses!A$2:B$11,2,FALSE)</f>
        <v>Arthritis</v>
      </c>
      <c r="K108" t="str">
        <f>VLOOKUP(H108,outcomes!A$2:B$4,2,0)</f>
        <v>Recovered</v>
      </c>
      <c r="L108">
        <f t="shared" si="6"/>
        <v>168</v>
      </c>
      <c r="M108" t="str">
        <f>IF(labs!C108="Blood Sugar",IF(labs!D108&gt;120,"High","Low"),"No Blood Sugar")</f>
        <v>High</v>
      </c>
      <c r="N108" t="str">
        <f t="shared" si="7"/>
        <v>Low Risk</v>
      </c>
    </row>
    <row r="109" spans="1:14">
      <c r="A109">
        <v>108</v>
      </c>
      <c r="B109" t="s">
        <v>123</v>
      </c>
      <c r="C109">
        <v>74</v>
      </c>
      <c r="D109" t="s">
        <v>15</v>
      </c>
      <c r="E109">
        <v>5</v>
      </c>
      <c r="F109" s="1">
        <v>45765</v>
      </c>
      <c r="G109" s="1">
        <v>45771</v>
      </c>
      <c r="H109">
        <v>1</v>
      </c>
      <c r="I109">
        <v>6243</v>
      </c>
      <c r="J109" t="str">
        <f>VLOOKUP(E109,diagnoses!A$2:B$11,2,FALSE)</f>
        <v>Stroke</v>
      </c>
      <c r="K109" t="str">
        <f>VLOOKUP(H109,outcomes!A$2:B$4,2,0)</f>
        <v>Recovered</v>
      </c>
      <c r="L109">
        <f t="shared" si="6"/>
        <v>6</v>
      </c>
      <c r="M109" t="str">
        <f>IF(labs!C109="Blood Sugar",IF(labs!D109&gt;120,"High","Low"),"No Blood Sugar")</f>
        <v>High</v>
      </c>
      <c r="N109" t="str">
        <f t="shared" si="7"/>
        <v>High Risk</v>
      </c>
    </row>
    <row r="110" spans="1:14">
      <c r="A110">
        <v>109</v>
      </c>
      <c r="B110" t="s">
        <v>124</v>
      </c>
      <c r="C110">
        <v>47</v>
      </c>
      <c r="D110" t="s">
        <v>15</v>
      </c>
      <c r="E110">
        <v>5</v>
      </c>
      <c r="F110" s="1">
        <v>45824</v>
      </c>
      <c r="G110" s="1">
        <v>45834</v>
      </c>
      <c r="H110">
        <v>3</v>
      </c>
      <c r="I110">
        <v>5701</v>
      </c>
      <c r="J110" t="str">
        <f>VLOOKUP(E110,diagnoses!A$2:B$11,2,FALSE)</f>
        <v>Stroke</v>
      </c>
      <c r="K110" t="str">
        <f>VLOOKUP(H110,outcomes!A$2:B$4,2,0)</f>
        <v>Deceased</v>
      </c>
      <c r="L110">
        <f t="shared" si="6"/>
        <v>10</v>
      </c>
      <c r="M110" t="str">
        <f>IF(labs!C110="Blood Sugar",IF(labs!D110&gt;120,"High","Low"),"No Blood Sugar")</f>
        <v>No Blood Sugar</v>
      </c>
      <c r="N110" t="str">
        <f t="shared" si="7"/>
        <v>High Risk</v>
      </c>
    </row>
    <row r="111" spans="1:14">
      <c r="A111">
        <v>110</v>
      </c>
      <c r="B111" t="s">
        <v>125</v>
      </c>
      <c r="C111">
        <v>76</v>
      </c>
      <c r="D111" t="s">
        <v>19</v>
      </c>
      <c r="E111">
        <v>7</v>
      </c>
      <c r="F111" s="1">
        <v>45748</v>
      </c>
      <c r="G111" s="1">
        <v>45752</v>
      </c>
      <c r="H111">
        <v>3</v>
      </c>
      <c r="I111">
        <v>2341</v>
      </c>
      <c r="J111" t="str">
        <f>VLOOKUP(E111,diagnoses!A$2:B$11,2,FALSE)</f>
        <v>Cancer</v>
      </c>
      <c r="K111" t="str">
        <f>VLOOKUP(H111,outcomes!A$2:B$4,2,0)</f>
        <v>Deceased</v>
      </c>
      <c r="L111">
        <f t="shared" si="6"/>
        <v>4</v>
      </c>
      <c r="M111" t="str">
        <f>IF(labs!C111="Blood Sugar",IF(labs!D111&gt;120,"High","Low"),"No Blood Sugar")</f>
        <v>No Blood Sugar</v>
      </c>
      <c r="N111" t="str">
        <f t="shared" si="7"/>
        <v>High Risk</v>
      </c>
    </row>
    <row r="112" spans="1:14">
      <c r="A112">
        <v>111</v>
      </c>
      <c r="B112" t="s">
        <v>126</v>
      </c>
      <c r="C112">
        <v>82</v>
      </c>
      <c r="D112" t="s">
        <v>19</v>
      </c>
      <c r="E112">
        <v>4</v>
      </c>
      <c r="F112" s="1">
        <v>45747</v>
      </c>
      <c r="G112" s="1">
        <v>45813</v>
      </c>
      <c r="H112">
        <v>2</v>
      </c>
      <c r="I112">
        <v>8619</v>
      </c>
      <c r="J112" t="str">
        <f>VLOOKUP(E112,diagnoses!A$2:B$11,2,FALSE)</f>
        <v>Asthma</v>
      </c>
      <c r="K112" t="str">
        <f>VLOOKUP(H112,outcomes!A$2:B$4,2,0)</f>
        <v>Complicated</v>
      </c>
      <c r="L112">
        <f t="shared" si="6"/>
        <v>66</v>
      </c>
      <c r="M112" t="str">
        <f>IF(labs!C112="Blood Sugar",IF(labs!D112&gt;120,"High","Low"),"No Blood Sugar")</f>
        <v>No Blood Sugar</v>
      </c>
      <c r="N112" t="str">
        <f t="shared" si="7"/>
        <v>High Risk</v>
      </c>
    </row>
    <row r="113" spans="1:14">
      <c r="A113">
        <v>112</v>
      </c>
      <c r="B113" t="s">
        <v>127</v>
      </c>
      <c r="C113">
        <v>53</v>
      </c>
      <c r="D113" t="s">
        <v>15</v>
      </c>
      <c r="E113">
        <v>6</v>
      </c>
      <c r="F113" s="1">
        <v>45676</v>
      </c>
      <c r="G113" s="1">
        <v>45687</v>
      </c>
      <c r="H113">
        <v>2</v>
      </c>
      <c r="I113">
        <v>7182</v>
      </c>
      <c r="J113" t="str">
        <f>VLOOKUP(E113,diagnoses!A$2:B$11,2,FALSE)</f>
        <v>COPD</v>
      </c>
      <c r="K113" t="str">
        <f>VLOOKUP(H113,outcomes!A$2:B$4,2,0)</f>
        <v>Complicated</v>
      </c>
      <c r="L113">
        <f t="shared" si="6"/>
        <v>11</v>
      </c>
      <c r="M113" t="str">
        <f>IF(labs!C113="Blood Sugar",IF(labs!D113&gt;120,"High","Low"),"No Blood Sugar")</f>
        <v>No Blood Sugar</v>
      </c>
      <c r="N113" t="str">
        <f t="shared" si="7"/>
        <v>High Risk</v>
      </c>
    </row>
    <row r="114" spans="1:14">
      <c r="A114">
        <v>113</v>
      </c>
      <c r="B114" t="s">
        <v>128</v>
      </c>
      <c r="C114">
        <v>55</v>
      </c>
      <c r="D114" t="s">
        <v>15</v>
      </c>
      <c r="E114">
        <v>4</v>
      </c>
      <c r="F114" s="1">
        <v>45696</v>
      </c>
      <c r="G114" s="1">
        <v>45698</v>
      </c>
      <c r="H114">
        <v>2</v>
      </c>
      <c r="I114">
        <v>3724</v>
      </c>
      <c r="J114" t="str">
        <f>VLOOKUP(E114,diagnoses!A$2:B$11,2,FALSE)</f>
        <v>Asthma</v>
      </c>
      <c r="K114" t="str">
        <f>VLOOKUP(H114,outcomes!A$2:B$4,2,0)</f>
        <v>Complicated</v>
      </c>
      <c r="L114">
        <f t="shared" si="6"/>
        <v>2</v>
      </c>
      <c r="M114" t="str">
        <f>IF(labs!C114="Blood Sugar",IF(labs!D114&gt;120,"High","Low"),"No Blood Sugar")</f>
        <v>No Blood Sugar</v>
      </c>
      <c r="N114" t="str">
        <f t="shared" si="7"/>
        <v>High Risk</v>
      </c>
    </row>
    <row r="115" spans="1:14">
      <c r="A115">
        <v>114</v>
      </c>
      <c r="B115" t="s">
        <v>129</v>
      </c>
      <c r="C115">
        <v>54</v>
      </c>
      <c r="D115" t="s">
        <v>19</v>
      </c>
      <c r="E115">
        <v>3</v>
      </c>
      <c r="F115" s="1">
        <v>45783</v>
      </c>
      <c r="G115" s="1">
        <v>45784</v>
      </c>
      <c r="H115">
        <v>1</v>
      </c>
      <c r="I115">
        <v>7479</v>
      </c>
      <c r="J115" t="str">
        <f>VLOOKUP(E115,diagnoses!A$2:B$11,2,FALSE)</f>
        <v>Heart Disease</v>
      </c>
      <c r="K115" t="str">
        <f>VLOOKUP(H115,outcomes!A$2:B$4,2,0)</f>
        <v>Recovered</v>
      </c>
      <c r="L115">
        <f t="shared" si="6"/>
        <v>1</v>
      </c>
      <c r="M115" t="str">
        <f>IF(labs!C115="Blood Sugar",IF(labs!D115&gt;120,"High","Low"),"No Blood Sugar")</f>
        <v>No Blood Sugar</v>
      </c>
      <c r="N115" t="str">
        <f t="shared" si="7"/>
        <v>Low Risk</v>
      </c>
    </row>
    <row r="116" spans="1:14">
      <c r="A116">
        <v>115</v>
      </c>
      <c r="B116" t="s">
        <v>130</v>
      </c>
      <c r="C116">
        <v>89</v>
      </c>
      <c r="D116" t="s">
        <v>15</v>
      </c>
      <c r="E116">
        <v>7</v>
      </c>
      <c r="F116" s="1">
        <v>45830</v>
      </c>
      <c r="G116" s="1">
        <v>45836</v>
      </c>
      <c r="H116">
        <v>1</v>
      </c>
      <c r="I116">
        <v>8704</v>
      </c>
      <c r="J116" t="str">
        <f>VLOOKUP(E116,diagnoses!A$2:B$11,2,FALSE)</f>
        <v>Cancer</v>
      </c>
      <c r="K116" t="str">
        <f>VLOOKUP(H116,outcomes!A$2:B$4,2,0)</f>
        <v>Recovered</v>
      </c>
      <c r="L116">
        <f t="shared" si="6"/>
        <v>6</v>
      </c>
      <c r="M116" t="str">
        <f>IF(labs!C116="Blood Sugar",IF(labs!D116&gt;120,"High","Low"),"No Blood Sugar")</f>
        <v>High</v>
      </c>
      <c r="N116" t="str">
        <f t="shared" si="7"/>
        <v>High Risk</v>
      </c>
    </row>
    <row r="117" spans="1:14">
      <c r="A117">
        <v>116</v>
      </c>
      <c r="B117" t="s">
        <v>131</v>
      </c>
      <c r="C117">
        <v>89</v>
      </c>
      <c r="D117" t="s">
        <v>19</v>
      </c>
      <c r="E117">
        <v>8</v>
      </c>
      <c r="F117" s="1">
        <v>45798</v>
      </c>
      <c r="G117" s="1">
        <v>45802</v>
      </c>
      <c r="H117">
        <v>2</v>
      </c>
      <c r="I117">
        <v>6422</v>
      </c>
      <c r="J117" t="str">
        <f>VLOOKUP(E117,diagnoses!A$2:B$11,2,FALSE)</f>
        <v>Arthritis</v>
      </c>
      <c r="K117" t="str">
        <f>VLOOKUP(H117,outcomes!A$2:B$4,2,0)</f>
        <v>Complicated</v>
      </c>
      <c r="L117">
        <f t="shared" si="6"/>
        <v>4</v>
      </c>
      <c r="M117" t="str">
        <f>IF(labs!C117="Blood Sugar",IF(labs!D117&gt;120,"High","Low"),"No Blood Sugar")</f>
        <v>High</v>
      </c>
      <c r="N117" t="str">
        <f t="shared" si="7"/>
        <v>High Risk</v>
      </c>
    </row>
    <row r="118" spans="1:14">
      <c r="A118">
        <v>117</v>
      </c>
      <c r="B118" t="s">
        <v>132</v>
      </c>
      <c r="C118">
        <v>89</v>
      </c>
      <c r="D118" t="s">
        <v>19</v>
      </c>
      <c r="E118">
        <v>4</v>
      </c>
      <c r="F118" s="1">
        <v>45783</v>
      </c>
      <c r="G118" s="1">
        <v>45788</v>
      </c>
      <c r="H118">
        <v>1</v>
      </c>
      <c r="I118">
        <v>3792</v>
      </c>
      <c r="J118" t="str">
        <f>VLOOKUP(E118,diagnoses!A$2:B$11,2,FALSE)</f>
        <v>Asthma</v>
      </c>
      <c r="K118" t="str">
        <f>VLOOKUP(H118,outcomes!A$2:B$4,2,0)</f>
        <v>Recovered</v>
      </c>
      <c r="L118">
        <f t="shared" si="6"/>
        <v>5</v>
      </c>
      <c r="M118" t="str">
        <f>IF(labs!C118="Blood Sugar",IF(labs!D118&gt;120,"High","Low"),"No Blood Sugar")</f>
        <v>No Blood Sugar</v>
      </c>
      <c r="N118" t="str">
        <f t="shared" si="7"/>
        <v>High Risk</v>
      </c>
    </row>
    <row r="119" spans="1:14">
      <c r="A119">
        <v>118</v>
      </c>
      <c r="B119" t="s">
        <v>133</v>
      </c>
      <c r="C119">
        <v>74</v>
      </c>
      <c r="D119" t="s">
        <v>15</v>
      </c>
      <c r="E119">
        <v>2</v>
      </c>
      <c r="F119" s="1">
        <v>45715</v>
      </c>
      <c r="G119" s="1">
        <v>45815</v>
      </c>
      <c r="H119">
        <v>2</v>
      </c>
      <c r="I119">
        <v>3759</v>
      </c>
      <c r="J119" t="str">
        <f>VLOOKUP(E119,diagnoses!A$2:B$11,2,FALSE)</f>
        <v>Diabetes</v>
      </c>
      <c r="K119" t="str">
        <f>VLOOKUP(H119,outcomes!A$2:B$4,2,0)</f>
        <v>Complicated</v>
      </c>
      <c r="L119">
        <f t="shared" si="6"/>
        <v>100</v>
      </c>
      <c r="M119" t="str">
        <f>IF(labs!C119="Blood Sugar",IF(labs!D119&gt;120,"High","Low"),"No Blood Sugar")</f>
        <v>No Blood Sugar</v>
      </c>
      <c r="N119" t="str">
        <f t="shared" si="7"/>
        <v>High Risk</v>
      </c>
    </row>
    <row r="120" spans="1:14">
      <c r="A120">
        <v>119</v>
      </c>
      <c r="B120" t="s">
        <v>134</v>
      </c>
      <c r="C120">
        <v>70</v>
      </c>
      <c r="D120" t="s">
        <v>15</v>
      </c>
      <c r="E120">
        <v>10</v>
      </c>
      <c r="F120" s="1">
        <v>45805</v>
      </c>
      <c r="G120" s="1">
        <v>45807</v>
      </c>
      <c r="H120">
        <v>3</v>
      </c>
      <c r="I120">
        <v>5212</v>
      </c>
      <c r="J120" t="str">
        <f>VLOOKUP(E120,diagnoses!A$2:B$11,2,FALSE)</f>
        <v>Liver Disease</v>
      </c>
      <c r="K120" t="str">
        <f>VLOOKUP(H120,outcomes!A$2:B$4,2,0)</f>
        <v>Deceased</v>
      </c>
      <c r="L120">
        <f t="shared" si="6"/>
        <v>2</v>
      </c>
      <c r="M120" t="str">
        <f>IF(labs!C120="Blood Sugar",IF(labs!D120&gt;120,"High","Low"),"No Blood Sugar")</f>
        <v>No Blood Sugar</v>
      </c>
      <c r="N120" t="str">
        <f t="shared" si="7"/>
        <v>High Risk</v>
      </c>
    </row>
    <row r="121" spans="1:14">
      <c r="A121">
        <v>120</v>
      </c>
      <c r="B121" t="s">
        <v>135</v>
      </c>
      <c r="C121">
        <v>58</v>
      </c>
      <c r="D121" t="s">
        <v>19</v>
      </c>
      <c r="E121">
        <v>3</v>
      </c>
      <c r="F121" s="1">
        <v>45718</v>
      </c>
      <c r="G121" s="1">
        <v>45722</v>
      </c>
      <c r="H121">
        <v>2</v>
      </c>
      <c r="I121">
        <v>2989</v>
      </c>
      <c r="J121" t="str">
        <f>VLOOKUP(E121,diagnoses!A$2:B$11,2,FALSE)</f>
        <v>Heart Disease</v>
      </c>
      <c r="K121" t="str">
        <f>VLOOKUP(H121,outcomes!A$2:B$4,2,0)</f>
        <v>Complicated</v>
      </c>
      <c r="L121">
        <f t="shared" si="6"/>
        <v>4</v>
      </c>
      <c r="M121" t="str">
        <f>IF(labs!C121="Blood Sugar",IF(labs!D121&gt;120,"High","Low"),"No Blood Sugar")</f>
        <v>Low</v>
      </c>
      <c r="N121" t="str">
        <f t="shared" si="7"/>
        <v>High Risk</v>
      </c>
    </row>
    <row r="122" spans="1:14">
      <c r="A122">
        <v>121</v>
      </c>
      <c r="B122" t="s">
        <v>136</v>
      </c>
      <c r="C122">
        <v>44</v>
      </c>
      <c r="D122" t="s">
        <v>19</v>
      </c>
      <c r="E122">
        <v>1</v>
      </c>
      <c r="F122" s="1">
        <v>45784</v>
      </c>
      <c r="G122" s="1">
        <v>45799</v>
      </c>
      <c r="H122">
        <v>3</v>
      </c>
      <c r="I122">
        <v>4262</v>
      </c>
      <c r="J122" t="str">
        <f>VLOOKUP(E122,diagnoses!A$2:B$11,2,FALSE)</f>
        <v>Hypertension</v>
      </c>
      <c r="K122" t="str">
        <f>VLOOKUP(H122,outcomes!A$2:B$4,2,0)</f>
        <v>Deceased</v>
      </c>
      <c r="L122">
        <f t="shared" si="6"/>
        <v>15</v>
      </c>
      <c r="M122" t="str">
        <f>IF(labs!C122="Blood Sugar",IF(labs!D122&gt;120,"High","Low"),"No Blood Sugar")</f>
        <v>No Blood Sugar</v>
      </c>
      <c r="N122" t="str">
        <f t="shared" si="7"/>
        <v>High Risk</v>
      </c>
    </row>
    <row r="123" spans="1:14">
      <c r="A123">
        <v>122</v>
      </c>
      <c r="B123" t="s">
        <v>137</v>
      </c>
      <c r="C123">
        <v>74</v>
      </c>
      <c r="D123" t="s">
        <v>15</v>
      </c>
      <c r="E123">
        <v>8</v>
      </c>
      <c r="F123" s="1">
        <v>45762</v>
      </c>
      <c r="G123" s="1">
        <v>45764</v>
      </c>
      <c r="H123">
        <v>1</v>
      </c>
      <c r="I123">
        <v>4482</v>
      </c>
      <c r="J123" t="str">
        <f>VLOOKUP(E123,diagnoses!A$2:B$11,2,FALSE)</f>
        <v>Arthritis</v>
      </c>
      <c r="K123" t="str">
        <f>VLOOKUP(H123,outcomes!A$2:B$4,2,0)</f>
        <v>Recovered</v>
      </c>
      <c r="L123">
        <f t="shared" si="6"/>
        <v>2</v>
      </c>
      <c r="M123" t="str">
        <f>IF(labs!C123="Blood Sugar",IF(labs!D123&gt;120,"High","Low"),"No Blood Sugar")</f>
        <v>No Blood Sugar</v>
      </c>
      <c r="N123" t="str">
        <f t="shared" si="7"/>
        <v>High Risk</v>
      </c>
    </row>
    <row r="124" spans="1:14">
      <c r="A124">
        <v>123</v>
      </c>
      <c r="B124" t="s">
        <v>138</v>
      </c>
      <c r="C124">
        <v>30</v>
      </c>
      <c r="D124" t="s">
        <v>19</v>
      </c>
      <c r="E124">
        <v>3</v>
      </c>
      <c r="F124" s="1">
        <v>45824</v>
      </c>
      <c r="G124" s="1">
        <v>45831</v>
      </c>
      <c r="H124">
        <v>2</v>
      </c>
      <c r="I124">
        <v>2951</v>
      </c>
      <c r="J124" t="str">
        <f>VLOOKUP(E124,diagnoses!A$2:B$11,2,FALSE)</f>
        <v>Heart Disease</v>
      </c>
      <c r="K124" t="str">
        <f>VLOOKUP(H124,outcomes!A$2:B$4,2,0)</f>
        <v>Complicated</v>
      </c>
      <c r="L124">
        <f t="shared" si="6"/>
        <v>7</v>
      </c>
      <c r="M124" t="str">
        <f>IF(labs!C124="Blood Sugar",IF(labs!D124&gt;120,"High","Low"),"No Blood Sugar")</f>
        <v>No Blood Sugar</v>
      </c>
      <c r="N124" t="str">
        <f t="shared" si="7"/>
        <v>High Risk</v>
      </c>
    </row>
    <row r="125" spans="1:14">
      <c r="A125">
        <v>124</v>
      </c>
      <c r="B125" t="s">
        <v>139</v>
      </c>
      <c r="C125">
        <v>54</v>
      </c>
      <c r="D125" t="s">
        <v>15</v>
      </c>
      <c r="E125">
        <v>10</v>
      </c>
      <c r="F125" s="1">
        <v>45658</v>
      </c>
      <c r="G125" s="1">
        <v>45712</v>
      </c>
      <c r="H125">
        <v>1</v>
      </c>
      <c r="I125">
        <v>2722</v>
      </c>
      <c r="J125" t="str">
        <f>VLOOKUP(E125,diagnoses!A$2:B$11,2,FALSE)</f>
        <v>Liver Disease</v>
      </c>
      <c r="K125" t="str">
        <f>VLOOKUP(H125,outcomes!A$2:B$4,2,0)</f>
        <v>Recovered</v>
      </c>
      <c r="L125">
        <f t="shared" si="6"/>
        <v>54</v>
      </c>
      <c r="M125" t="str">
        <f>IF(labs!C125="Blood Sugar",IF(labs!D125&gt;120,"High","Low"),"No Blood Sugar")</f>
        <v>No Blood Sugar</v>
      </c>
      <c r="N125" t="str">
        <f t="shared" si="7"/>
        <v>Low Risk</v>
      </c>
    </row>
    <row r="126" spans="1:14">
      <c r="A126">
        <v>125</v>
      </c>
      <c r="B126" t="s">
        <v>140</v>
      </c>
      <c r="C126">
        <v>36</v>
      </c>
      <c r="D126" t="s">
        <v>19</v>
      </c>
      <c r="E126">
        <v>7</v>
      </c>
      <c r="F126" s="1">
        <v>45788</v>
      </c>
      <c r="G126" s="1">
        <v>45793</v>
      </c>
      <c r="H126">
        <v>3</v>
      </c>
      <c r="I126">
        <v>5389</v>
      </c>
      <c r="J126" t="str">
        <f>VLOOKUP(E126,diagnoses!A$2:B$11,2,FALSE)</f>
        <v>Cancer</v>
      </c>
      <c r="K126" t="str">
        <f>VLOOKUP(H126,outcomes!A$2:B$4,2,0)</f>
        <v>Deceased</v>
      </c>
      <c r="L126">
        <f t="shared" si="6"/>
        <v>5</v>
      </c>
      <c r="M126" t="str">
        <f>IF(labs!C126="Blood Sugar",IF(labs!D126&gt;120,"High","Low"),"No Blood Sugar")</f>
        <v>No Blood Sugar</v>
      </c>
      <c r="N126" t="str">
        <f t="shared" si="7"/>
        <v>High Risk</v>
      </c>
    </row>
    <row r="127" spans="1:14">
      <c r="A127">
        <v>126</v>
      </c>
      <c r="B127" t="s">
        <v>141</v>
      </c>
      <c r="C127">
        <v>38</v>
      </c>
      <c r="D127" t="s">
        <v>15</v>
      </c>
      <c r="E127">
        <v>10</v>
      </c>
      <c r="F127" s="1">
        <v>45749</v>
      </c>
      <c r="G127" s="1">
        <v>45843</v>
      </c>
      <c r="H127">
        <v>3</v>
      </c>
      <c r="I127">
        <v>4079</v>
      </c>
      <c r="J127" t="str">
        <f>VLOOKUP(E127,diagnoses!A$2:B$11,2,FALSE)</f>
        <v>Liver Disease</v>
      </c>
      <c r="K127" t="str">
        <f>VLOOKUP(H127,outcomes!A$2:B$4,2,0)</f>
        <v>Deceased</v>
      </c>
      <c r="L127">
        <f t="shared" si="6"/>
        <v>94</v>
      </c>
      <c r="M127" t="str">
        <f>IF(labs!C127="Blood Sugar",IF(labs!D127&gt;120,"High","Low"),"No Blood Sugar")</f>
        <v>No Blood Sugar</v>
      </c>
      <c r="N127" t="str">
        <f t="shared" si="7"/>
        <v>High Risk</v>
      </c>
    </row>
    <row r="128" spans="1:14">
      <c r="A128">
        <v>127</v>
      </c>
      <c r="B128" t="s">
        <v>142</v>
      </c>
      <c r="C128">
        <v>53</v>
      </c>
      <c r="D128" t="s">
        <v>15</v>
      </c>
      <c r="E128">
        <v>5</v>
      </c>
      <c r="F128" s="1">
        <v>45770</v>
      </c>
      <c r="G128" s="1">
        <v>45778</v>
      </c>
      <c r="H128">
        <v>3</v>
      </c>
      <c r="I128">
        <v>4717</v>
      </c>
      <c r="J128" t="str">
        <f>VLOOKUP(E128,diagnoses!A$2:B$11,2,FALSE)</f>
        <v>Stroke</v>
      </c>
      <c r="K128" t="str">
        <f>VLOOKUP(H128,outcomes!A$2:B$4,2,0)</f>
        <v>Deceased</v>
      </c>
      <c r="L128">
        <f t="shared" si="6"/>
        <v>8</v>
      </c>
      <c r="M128" t="str">
        <f>IF(labs!C128="Blood Sugar",IF(labs!D128&gt;120,"High","Low"),"No Blood Sugar")</f>
        <v>No Blood Sugar</v>
      </c>
      <c r="N128" t="str">
        <f t="shared" si="7"/>
        <v>High Risk</v>
      </c>
    </row>
    <row r="129" spans="1:14">
      <c r="A129">
        <v>128</v>
      </c>
      <c r="B129" t="s">
        <v>143</v>
      </c>
      <c r="C129">
        <v>30</v>
      </c>
      <c r="D129" t="s">
        <v>15</v>
      </c>
      <c r="E129">
        <v>10</v>
      </c>
      <c r="F129" s="1">
        <v>45810</v>
      </c>
      <c r="G129" s="1">
        <v>45816</v>
      </c>
      <c r="H129">
        <v>1</v>
      </c>
      <c r="I129">
        <v>4332</v>
      </c>
      <c r="J129" t="str">
        <f>VLOOKUP(E129,diagnoses!A$2:B$11,2,FALSE)</f>
        <v>Liver Disease</v>
      </c>
      <c r="K129" t="str">
        <f>VLOOKUP(H129,outcomes!A$2:B$4,2,0)</f>
        <v>Recovered</v>
      </c>
      <c r="L129">
        <f t="shared" si="6"/>
        <v>6</v>
      </c>
      <c r="M129" t="str">
        <f>IF(labs!C129="Blood Sugar",IF(labs!D129&gt;120,"High","Low"),"No Blood Sugar")</f>
        <v>Low</v>
      </c>
      <c r="N129" t="str">
        <f t="shared" si="7"/>
        <v>Low Risk</v>
      </c>
    </row>
    <row r="130" spans="1:14">
      <c r="A130">
        <v>129</v>
      </c>
      <c r="B130" t="s">
        <v>144</v>
      </c>
      <c r="C130">
        <v>73</v>
      </c>
      <c r="D130" t="s">
        <v>19</v>
      </c>
      <c r="E130">
        <v>5</v>
      </c>
      <c r="F130" s="1">
        <v>45713</v>
      </c>
      <c r="G130" s="1">
        <v>45821</v>
      </c>
      <c r="H130">
        <v>1</v>
      </c>
      <c r="I130">
        <v>5376</v>
      </c>
      <c r="J130" t="str">
        <f>VLOOKUP(E130,diagnoses!A$2:B$11,2,FALSE)</f>
        <v>Stroke</v>
      </c>
      <c r="K130" t="str">
        <f>VLOOKUP(H130,outcomes!A$2:B$4,2,0)</f>
        <v>Recovered</v>
      </c>
      <c r="L130">
        <f t="shared" si="6"/>
        <v>108</v>
      </c>
      <c r="M130" t="str">
        <f>IF(labs!C130="Blood Sugar",IF(labs!D130&gt;120,"High","Low"),"No Blood Sugar")</f>
        <v>No Blood Sugar</v>
      </c>
      <c r="N130" t="str">
        <f t="shared" si="7"/>
        <v>High Risk</v>
      </c>
    </row>
    <row r="131" spans="1:14">
      <c r="A131">
        <v>130</v>
      </c>
      <c r="B131" t="s">
        <v>145</v>
      </c>
      <c r="C131">
        <v>37</v>
      </c>
      <c r="D131" t="s">
        <v>19</v>
      </c>
      <c r="E131">
        <v>7</v>
      </c>
      <c r="F131" s="1">
        <v>45818</v>
      </c>
      <c r="G131" s="1">
        <v>45821</v>
      </c>
      <c r="H131">
        <v>1</v>
      </c>
      <c r="I131">
        <v>6524</v>
      </c>
      <c r="J131" t="str">
        <f>VLOOKUP(E131,diagnoses!A$2:B$11,2,FALSE)</f>
        <v>Cancer</v>
      </c>
      <c r="K131" t="str">
        <f>VLOOKUP(H131,outcomes!A$2:B$4,2,0)</f>
        <v>Recovered</v>
      </c>
      <c r="L131">
        <f t="shared" ref="L131:L162" si="8">DATEDIF(F131,G131,"D")</f>
        <v>3</v>
      </c>
      <c r="M131" t="str">
        <f>IF(labs!C131="Blood Sugar",IF(labs!D131&gt;120,"High","Low"),"No Blood Sugar")</f>
        <v>No Blood Sugar</v>
      </c>
      <c r="N131" t="str">
        <f t="shared" ref="N131:N162" si="9">IF(OR(C131&gt;65,H131&gt;1),"High Risk","Low Risk")</f>
        <v>Low Risk</v>
      </c>
    </row>
    <row r="132" spans="1:14">
      <c r="A132">
        <v>131</v>
      </c>
      <c r="B132" t="s">
        <v>146</v>
      </c>
      <c r="C132">
        <v>53</v>
      </c>
      <c r="D132" t="s">
        <v>15</v>
      </c>
      <c r="E132">
        <v>9</v>
      </c>
      <c r="F132" s="1">
        <v>45823</v>
      </c>
      <c r="G132" s="1">
        <v>45829</v>
      </c>
      <c r="H132">
        <v>1</v>
      </c>
      <c r="I132">
        <v>3500</v>
      </c>
      <c r="J132" t="str">
        <f>VLOOKUP(E132,diagnoses!A$2:B$11,2,FALSE)</f>
        <v>Kidney Disease</v>
      </c>
      <c r="K132" t="str">
        <f>VLOOKUP(H132,outcomes!A$2:B$4,2,0)</f>
        <v>Recovered</v>
      </c>
      <c r="L132">
        <f t="shared" si="8"/>
        <v>6</v>
      </c>
      <c r="M132" t="str">
        <f>IF(labs!C132="Blood Sugar",IF(labs!D132&gt;120,"High","Low"),"No Blood Sugar")</f>
        <v>No Blood Sugar</v>
      </c>
      <c r="N132" t="str">
        <f t="shared" si="9"/>
        <v>Low Risk</v>
      </c>
    </row>
    <row r="133" spans="1:14">
      <c r="A133">
        <v>132</v>
      </c>
      <c r="B133" t="s">
        <v>147</v>
      </c>
      <c r="C133">
        <v>40</v>
      </c>
      <c r="D133" t="s">
        <v>19</v>
      </c>
      <c r="E133">
        <v>5</v>
      </c>
      <c r="F133" s="1">
        <v>45774</v>
      </c>
      <c r="G133" s="1">
        <v>45780</v>
      </c>
      <c r="H133">
        <v>3</v>
      </c>
      <c r="I133">
        <v>2285</v>
      </c>
      <c r="J133" t="str">
        <f>VLOOKUP(E133,diagnoses!A$2:B$11,2,FALSE)</f>
        <v>Stroke</v>
      </c>
      <c r="K133" t="str">
        <f>VLOOKUP(H133,outcomes!A$2:B$4,2,0)</f>
        <v>Deceased</v>
      </c>
      <c r="L133">
        <f t="shared" si="8"/>
        <v>6</v>
      </c>
      <c r="M133" t="str">
        <f>IF(labs!C133="Blood Sugar",IF(labs!D133&gt;120,"High","Low"),"No Blood Sugar")</f>
        <v>No Blood Sugar</v>
      </c>
      <c r="N133" t="str">
        <f t="shared" si="9"/>
        <v>High Risk</v>
      </c>
    </row>
    <row r="134" spans="1:14">
      <c r="A134">
        <v>133</v>
      </c>
      <c r="B134" t="s">
        <v>148</v>
      </c>
      <c r="C134">
        <v>80</v>
      </c>
      <c r="D134" t="s">
        <v>15</v>
      </c>
      <c r="E134">
        <v>1</v>
      </c>
      <c r="F134" s="1">
        <v>45791</v>
      </c>
      <c r="G134" s="1">
        <v>45795</v>
      </c>
      <c r="H134">
        <v>3</v>
      </c>
      <c r="I134">
        <v>9311</v>
      </c>
      <c r="J134" t="str">
        <f>VLOOKUP(E134,diagnoses!A$2:B$11,2,FALSE)</f>
        <v>Hypertension</v>
      </c>
      <c r="K134" t="str">
        <f>VLOOKUP(H134,outcomes!A$2:B$4,2,0)</f>
        <v>Deceased</v>
      </c>
      <c r="L134">
        <f t="shared" si="8"/>
        <v>4</v>
      </c>
      <c r="M134" t="str">
        <f>IF(labs!C134="Blood Sugar",IF(labs!D134&gt;120,"High","Low"),"No Blood Sugar")</f>
        <v>No Blood Sugar</v>
      </c>
      <c r="N134" t="str">
        <f t="shared" si="9"/>
        <v>High Risk</v>
      </c>
    </row>
    <row r="135" spans="1:14">
      <c r="A135">
        <v>134</v>
      </c>
      <c r="B135" t="s">
        <v>149</v>
      </c>
      <c r="C135">
        <v>46</v>
      </c>
      <c r="D135" t="s">
        <v>15</v>
      </c>
      <c r="E135">
        <v>10</v>
      </c>
      <c r="F135" s="1">
        <v>45715</v>
      </c>
      <c r="G135" s="1">
        <v>45722</v>
      </c>
      <c r="H135">
        <v>2</v>
      </c>
      <c r="I135">
        <v>5495</v>
      </c>
      <c r="J135" t="str">
        <f>VLOOKUP(E135,diagnoses!A$2:B$11,2,FALSE)</f>
        <v>Liver Disease</v>
      </c>
      <c r="K135" t="str">
        <f>VLOOKUP(H135,outcomes!A$2:B$4,2,0)</f>
        <v>Complicated</v>
      </c>
      <c r="L135">
        <f t="shared" si="8"/>
        <v>7</v>
      </c>
      <c r="M135" t="str">
        <f>IF(labs!C135="Blood Sugar",IF(labs!D135&gt;120,"High","Low"),"No Blood Sugar")</f>
        <v>Low</v>
      </c>
      <c r="N135" t="str">
        <f t="shared" si="9"/>
        <v>High Risk</v>
      </c>
    </row>
    <row r="136" spans="1:14">
      <c r="A136">
        <v>135</v>
      </c>
      <c r="B136" t="s">
        <v>150</v>
      </c>
      <c r="C136">
        <v>37</v>
      </c>
      <c r="D136" t="s">
        <v>19</v>
      </c>
      <c r="E136">
        <v>10</v>
      </c>
      <c r="F136" s="1">
        <v>45701</v>
      </c>
      <c r="G136" s="1">
        <v>45760</v>
      </c>
      <c r="H136">
        <v>2</v>
      </c>
      <c r="I136">
        <v>9186</v>
      </c>
      <c r="J136" t="str">
        <f>VLOOKUP(E136,diagnoses!A$2:B$11,2,FALSE)</f>
        <v>Liver Disease</v>
      </c>
      <c r="K136" t="str">
        <f>VLOOKUP(H136,outcomes!A$2:B$4,2,0)</f>
        <v>Complicated</v>
      </c>
      <c r="L136">
        <f t="shared" si="8"/>
        <v>59</v>
      </c>
      <c r="M136" t="str">
        <f>IF(labs!C136="Blood Sugar",IF(labs!D136&gt;120,"High","Low"),"No Blood Sugar")</f>
        <v>High</v>
      </c>
      <c r="N136" t="str">
        <f t="shared" si="9"/>
        <v>High Risk</v>
      </c>
    </row>
    <row r="137" spans="1:14">
      <c r="A137">
        <v>136</v>
      </c>
      <c r="B137" t="s">
        <v>151</v>
      </c>
      <c r="C137">
        <v>64</v>
      </c>
      <c r="D137" t="s">
        <v>19</v>
      </c>
      <c r="E137">
        <v>1</v>
      </c>
      <c r="F137" s="1">
        <v>45830</v>
      </c>
      <c r="G137" s="1">
        <v>45835</v>
      </c>
      <c r="H137">
        <v>1</v>
      </c>
      <c r="I137">
        <v>4065</v>
      </c>
      <c r="J137" t="str">
        <f>VLOOKUP(E137,diagnoses!A$2:B$11,2,FALSE)</f>
        <v>Hypertension</v>
      </c>
      <c r="K137" t="str">
        <f>VLOOKUP(H137,outcomes!A$2:B$4,2,0)</f>
        <v>Recovered</v>
      </c>
      <c r="L137">
        <f t="shared" si="8"/>
        <v>5</v>
      </c>
      <c r="M137" t="str">
        <f>IF(labs!C137="Blood Sugar",IF(labs!D137&gt;120,"High","Low"),"No Blood Sugar")</f>
        <v>No Blood Sugar</v>
      </c>
      <c r="N137" t="str">
        <f t="shared" si="9"/>
        <v>Low Risk</v>
      </c>
    </row>
    <row r="138" spans="1:14">
      <c r="A138">
        <v>137</v>
      </c>
      <c r="B138" t="s">
        <v>152</v>
      </c>
      <c r="C138">
        <v>64</v>
      </c>
      <c r="D138" t="s">
        <v>15</v>
      </c>
      <c r="E138">
        <v>2</v>
      </c>
      <c r="F138" s="1">
        <v>45817</v>
      </c>
      <c r="G138" s="1">
        <v>45819</v>
      </c>
      <c r="H138">
        <v>3</v>
      </c>
      <c r="I138">
        <v>2768</v>
      </c>
      <c r="J138" t="str">
        <f>VLOOKUP(E138,diagnoses!A$2:B$11,2,FALSE)</f>
        <v>Diabetes</v>
      </c>
      <c r="K138" t="str">
        <f>VLOOKUP(H138,outcomes!A$2:B$4,2,0)</f>
        <v>Deceased</v>
      </c>
      <c r="L138">
        <f t="shared" si="8"/>
        <v>2</v>
      </c>
      <c r="M138" t="str">
        <f>IF(labs!C138="Blood Sugar",IF(labs!D138&gt;120,"High","Low"),"No Blood Sugar")</f>
        <v>No Blood Sugar</v>
      </c>
      <c r="N138" t="str">
        <f t="shared" si="9"/>
        <v>High Risk</v>
      </c>
    </row>
    <row r="139" spans="1:14">
      <c r="A139">
        <v>138</v>
      </c>
      <c r="B139" t="s">
        <v>153</v>
      </c>
      <c r="C139">
        <v>62</v>
      </c>
      <c r="D139" t="s">
        <v>19</v>
      </c>
      <c r="E139">
        <v>6</v>
      </c>
      <c r="F139" s="1">
        <v>45830</v>
      </c>
      <c r="G139" s="1">
        <v>45840</v>
      </c>
      <c r="H139">
        <v>3</v>
      </c>
      <c r="I139">
        <v>8733</v>
      </c>
      <c r="J139" t="str">
        <f>VLOOKUP(E139,diagnoses!A$2:B$11,2,FALSE)</f>
        <v>COPD</v>
      </c>
      <c r="K139" t="str">
        <f>VLOOKUP(H139,outcomes!A$2:B$4,2,0)</f>
        <v>Deceased</v>
      </c>
      <c r="L139">
        <f t="shared" si="8"/>
        <v>10</v>
      </c>
      <c r="M139" t="str">
        <f>IF(labs!C139="Blood Sugar",IF(labs!D139&gt;120,"High","Low"),"No Blood Sugar")</f>
        <v>No Blood Sugar</v>
      </c>
      <c r="N139" t="str">
        <f t="shared" si="9"/>
        <v>High Risk</v>
      </c>
    </row>
    <row r="140" spans="1:14">
      <c r="A140">
        <v>139</v>
      </c>
      <c r="B140" t="s">
        <v>154</v>
      </c>
      <c r="C140">
        <v>88</v>
      </c>
      <c r="D140" t="s">
        <v>19</v>
      </c>
      <c r="E140">
        <v>9</v>
      </c>
      <c r="F140" s="1">
        <v>45718</v>
      </c>
      <c r="G140" s="1">
        <v>45727</v>
      </c>
      <c r="H140">
        <v>3</v>
      </c>
      <c r="I140">
        <v>7490</v>
      </c>
      <c r="J140" t="str">
        <f>VLOOKUP(E140,diagnoses!A$2:B$11,2,FALSE)</f>
        <v>Kidney Disease</v>
      </c>
      <c r="K140" t="str">
        <f>VLOOKUP(H140,outcomes!A$2:B$4,2,0)</f>
        <v>Deceased</v>
      </c>
      <c r="L140">
        <f t="shared" si="8"/>
        <v>9</v>
      </c>
      <c r="M140" t="str">
        <f>IF(labs!C140="Blood Sugar",IF(labs!D140&gt;120,"High","Low"),"No Blood Sugar")</f>
        <v>No Blood Sugar</v>
      </c>
      <c r="N140" t="str">
        <f t="shared" si="9"/>
        <v>High Risk</v>
      </c>
    </row>
    <row r="141" spans="1:14">
      <c r="A141">
        <v>140</v>
      </c>
      <c r="B141" t="s">
        <v>155</v>
      </c>
      <c r="C141">
        <v>34</v>
      </c>
      <c r="D141" t="s">
        <v>15</v>
      </c>
      <c r="E141">
        <v>8</v>
      </c>
      <c r="F141" s="1">
        <v>45704</v>
      </c>
      <c r="G141" s="1">
        <v>45747</v>
      </c>
      <c r="H141">
        <v>2</v>
      </c>
      <c r="I141">
        <v>9342</v>
      </c>
      <c r="J141" t="str">
        <f>VLOOKUP(E141,diagnoses!A$2:B$11,2,FALSE)</f>
        <v>Arthritis</v>
      </c>
      <c r="K141" t="str">
        <f>VLOOKUP(H141,outcomes!A$2:B$4,2,0)</f>
        <v>Complicated</v>
      </c>
      <c r="L141">
        <f t="shared" si="8"/>
        <v>43</v>
      </c>
      <c r="M141" t="str">
        <f>IF(labs!C141="Blood Sugar",IF(labs!D141&gt;120,"High","Low"),"No Blood Sugar")</f>
        <v>No Blood Sugar</v>
      </c>
      <c r="N141" t="str">
        <f t="shared" si="9"/>
        <v>High Risk</v>
      </c>
    </row>
    <row r="142" spans="1:14">
      <c r="A142">
        <v>141</v>
      </c>
      <c r="B142" t="s">
        <v>156</v>
      </c>
      <c r="C142">
        <v>71</v>
      </c>
      <c r="D142" t="s">
        <v>15</v>
      </c>
      <c r="E142">
        <v>5</v>
      </c>
      <c r="F142" s="1">
        <v>45806</v>
      </c>
      <c r="G142" s="1">
        <v>45809</v>
      </c>
      <c r="H142">
        <v>2</v>
      </c>
      <c r="I142">
        <v>5057</v>
      </c>
      <c r="J142" t="str">
        <f>VLOOKUP(E142,diagnoses!A$2:B$11,2,FALSE)</f>
        <v>Stroke</v>
      </c>
      <c r="K142" t="str">
        <f>VLOOKUP(H142,outcomes!A$2:B$4,2,0)</f>
        <v>Complicated</v>
      </c>
      <c r="L142">
        <f t="shared" si="8"/>
        <v>3</v>
      </c>
      <c r="M142" t="str">
        <f>IF(labs!C142="Blood Sugar",IF(labs!D142&gt;120,"High","Low"),"No Blood Sugar")</f>
        <v>Low</v>
      </c>
      <c r="N142" t="str">
        <f t="shared" si="9"/>
        <v>High Risk</v>
      </c>
    </row>
    <row r="143" spans="1:14">
      <c r="A143">
        <v>142</v>
      </c>
      <c r="B143" t="s">
        <v>157</v>
      </c>
      <c r="C143">
        <v>68</v>
      </c>
      <c r="D143" t="s">
        <v>19</v>
      </c>
      <c r="E143">
        <v>1</v>
      </c>
      <c r="F143" s="1">
        <v>45737</v>
      </c>
      <c r="G143" s="1">
        <v>45746</v>
      </c>
      <c r="H143">
        <v>3</v>
      </c>
      <c r="I143">
        <v>6289</v>
      </c>
      <c r="J143" t="str">
        <f>VLOOKUP(E143,diagnoses!A$2:B$11,2,FALSE)</f>
        <v>Hypertension</v>
      </c>
      <c r="K143" t="str">
        <f>VLOOKUP(H143,outcomes!A$2:B$4,2,0)</f>
        <v>Deceased</v>
      </c>
      <c r="L143">
        <f t="shared" si="8"/>
        <v>9</v>
      </c>
      <c r="M143" t="str">
        <f>IF(labs!C143="Blood Sugar",IF(labs!D143&gt;120,"High","Low"),"No Blood Sugar")</f>
        <v>No Blood Sugar</v>
      </c>
      <c r="N143" t="str">
        <f t="shared" si="9"/>
        <v>High Risk</v>
      </c>
    </row>
    <row r="144" spans="1:14">
      <c r="A144">
        <v>143</v>
      </c>
      <c r="B144" t="s">
        <v>158</v>
      </c>
      <c r="C144">
        <v>87</v>
      </c>
      <c r="D144" t="s">
        <v>15</v>
      </c>
      <c r="E144">
        <v>7</v>
      </c>
      <c r="F144" s="1">
        <v>45775</v>
      </c>
      <c r="G144" s="1">
        <v>45779</v>
      </c>
      <c r="H144">
        <v>3</v>
      </c>
      <c r="I144">
        <v>8645</v>
      </c>
      <c r="J144" t="str">
        <f>VLOOKUP(E144,diagnoses!A$2:B$11,2,FALSE)</f>
        <v>Cancer</v>
      </c>
      <c r="K144" t="str">
        <f>VLOOKUP(H144,outcomes!A$2:B$4,2,0)</f>
        <v>Deceased</v>
      </c>
      <c r="L144">
        <f t="shared" si="8"/>
        <v>4</v>
      </c>
      <c r="M144" t="str">
        <f>IF(labs!C144="Blood Sugar",IF(labs!D144&gt;120,"High","Low"),"No Blood Sugar")</f>
        <v>No Blood Sugar</v>
      </c>
      <c r="N144" t="str">
        <f t="shared" si="9"/>
        <v>High Risk</v>
      </c>
    </row>
    <row r="145" spans="1:14">
      <c r="A145">
        <v>144</v>
      </c>
      <c r="B145" t="s">
        <v>159</v>
      </c>
      <c r="C145">
        <v>70</v>
      </c>
      <c r="D145" t="s">
        <v>15</v>
      </c>
      <c r="E145">
        <v>5</v>
      </c>
      <c r="F145" s="1">
        <v>45821</v>
      </c>
      <c r="G145" s="1">
        <v>45824</v>
      </c>
      <c r="H145">
        <v>3</v>
      </c>
      <c r="I145">
        <v>7083</v>
      </c>
      <c r="J145" t="str">
        <f>VLOOKUP(E145,diagnoses!A$2:B$11,2,FALSE)</f>
        <v>Stroke</v>
      </c>
      <c r="K145" t="str">
        <f>VLOOKUP(H145,outcomes!A$2:B$4,2,0)</f>
        <v>Deceased</v>
      </c>
      <c r="L145">
        <f t="shared" si="8"/>
        <v>3</v>
      </c>
      <c r="M145" t="str">
        <f>IF(labs!C145="Blood Sugar",IF(labs!D145&gt;120,"High","Low"),"No Blood Sugar")</f>
        <v>No Blood Sugar</v>
      </c>
      <c r="N145" t="str">
        <f t="shared" si="9"/>
        <v>High Risk</v>
      </c>
    </row>
    <row r="146" spans="1:14">
      <c r="A146">
        <v>145</v>
      </c>
      <c r="B146" t="s">
        <v>160</v>
      </c>
      <c r="C146">
        <v>57</v>
      </c>
      <c r="D146" t="s">
        <v>19</v>
      </c>
      <c r="E146">
        <v>6</v>
      </c>
      <c r="F146" s="1">
        <v>45804</v>
      </c>
      <c r="G146" s="1">
        <v>45812</v>
      </c>
      <c r="H146">
        <v>2</v>
      </c>
      <c r="I146">
        <v>7232</v>
      </c>
      <c r="J146" t="str">
        <f>VLOOKUP(E146,diagnoses!A$2:B$11,2,FALSE)</f>
        <v>COPD</v>
      </c>
      <c r="K146" t="str">
        <f>VLOOKUP(H146,outcomes!A$2:B$4,2,0)</f>
        <v>Complicated</v>
      </c>
      <c r="L146">
        <f t="shared" si="8"/>
        <v>8</v>
      </c>
      <c r="M146" t="str">
        <f>IF(labs!C146="Blood Sugar",IF(labs!D146&gt;120,"High","Low"),"No Blood Sugar")</f>
        <v>No Blood Sugar</v>
      </c>
      <c r="N146" t="str">
        <f t="shared" si="9"/>
        <v>High Risk</v>
      </c>
    </row>
    <row r="147" spans="1:14">
      <c r="A147">
        <v>146</v>
      </c>
      <c r="B147" t="s">
        <v>161</v>
      </c>
      <c r="C147">
        <v>36</v>
      </c>
      <c r="D147" t="s">
        <v>15</v>
      </c>
      <c r="E147">
        <v>7</v>
      </c>
      <c r="F147" s="1">
        <v>45677</v>
      </c>
      <c r="G147" s="1">
        <v>45765</v>
      </c>
      <c r="H147">
        <v>3</v>
      </c>
      <c r="I147">
        <v>4161</v>
      </c>
      <c r="J147" t="str">
        <f>VLOOKUP(E147,diagnoses!A$2:B$11,2,FALSE)</f>
        <v>Cancer</v>
      </c>
      <c r="K147" t="str">
        <f>VLOOKUP(H147,outcomes!A$2:B$4,2,0)</f>
        <v>Deceased</v>
      </c>
      <c r="L147">
        <f t="shared" si="8"/>
        <v>88</v>
      </c>
      <c r="M147" t="str">
        <f>IF(labs!C147="Blood Sugar",IF(labs!D147&gt;120,"High","Low"),"No Blood Sugar")</f>
        <v>High</v>
      </c>
      <c r="N147" t="str">
        <f t="shared" si="9"/>
        <v>High Risk</v>
      </c>
    </row>
    <row r="148" spans="1:14">
      <c r="A148">
        <v>147</v>
      </c>
      <c r="B148" t="s">
        <v>162</v>
      </c>
      <c r="C148">
        <v>38</v>
      </c>
      <c r="D148" t="s">
        <v>15</v>
      </c>
      <c r="E148">
        <v>3</v>
      </c>
      <c r="F148" s="1">
        <v>45803</v>
      </c>
      <c r="G148" s="1">
        <v>45846</v>
      </c>
      <c r="H148">
        <v>3</v>
      </c>
      <c r="I148">
        <v>5293</v>
      </c>
      <c r="J148" t="str">
        <f>VLOOKUP(E148,diagnoses!A$2:B$11,2,FALSE)</f>
        <v>Heart Disease</v>
      </c>
      <c r="K148" t="str">
        <f>VLOOKUP(H148,outcomes!A$2:B$4,2,0)</f>
        <v>Deceased</v>
      </c>
      <c r="L148">
        <f t="shared" si="8"/>
        <v>43</v>
      </c>
      <c r="M148" t="str">
        <f>IF(labs!C148="Blood Sugar",IF(labs!D148&gt;120,"High","Low"),"No Blood Sugar")</f>
        <v>No Blood Sugar</v>
      </c>
      <c r="N148" t="str">
        <f t="shared" si="9"/>
        <v>High Risk</v>
      </c>
    </row>
    <row r="149" spans="1:14">
      <c r="A149">
        <v>148</v>
      </c>
      <c r="B149" t="s">
        <v>163</v>
      </c>
      <c r="C149">
        <v>37</v>
      </c>
      <c r="D149" t="s">
        <v>19</v>
      </c>
      <c r="E149">
        <v>10</v>
      </c>
      <c r="F149" s="1">
        <v>45704</v>
      </c>
      <c r="G149" s="1">
        <v>45713</v>
      </c>
      <c r="H149">
        <v>1</v>
      </c>
      <c r="I149">
        <v>7797</v>
      </c>
      <c r="J149" t="str">
        <f>VLOOKUP(E149,diagnoses!A$2:B$11,2,FALSE)</f>
        <v>Liver Disease</v>
      </c>
      <c r="K149" t="str">
        <f>VLOOKUP(H149,outcomes!A$2:B$4,2,0)</f>
        <v>Recovered</v>
      </c>
      <c r="L149">
        <f t="shared" si="8"/>
        <v>9</v>
      </c>
      <c r="M149" t="str">
        <f>IF(labs!C149="Blood Sugar",IF(labs!D149&gt;120,"High","Low"),"No Blood Sugar")</f>
        <v>High</v>
      </c>
      <c r="N149" t="str">
        <f t="shared" si="9"/>
        <v>Low Risk</v>
      </c>
    </row>
    <row r="150" spans="1:14">
      <c r="A150">
        <v>149</v>
      </c>
      <c r="B150" t="s">
        <v>164</v>
      </c>
      <c r="C150">
        <v>41</v>
      </c>
      <c r="D150" t="s">
        <v>19</v>
      </c>
      <c r="E150">
        <v>3</v>
      </c>
      <c r="F150" s="1">
        <v>45706</v>
      </c>
      <c r="G150" s="1">
        <v>45793</v>
      </c>
      <c r="H150">
        <v>1</v>
      </c>
      <c r="I150">
        <v>2946</v>
      </c>
      <c r="J150" t="str">
        <f>VLOOKUP(E150,diagnoses!A$2:B$11,2,FALSE)</f>
        <v>Heart Disease</v>
      </c>
      <c r="K150" t="str">
        <f>VLOOKUP(H150,outcomes!A$2:B$4,2,0)</f>
        <v>Recovered</v>
      </c>
      <c r="L150">
        <f t="shared" si="8"/>
        <v>87</v>
      </c>
      <c r="M150" t="str">
        <f>IF(labs!C150="Blood Sugar",IF(labs!D150&gt;120,"High","Low"),"No Blood Sugar")</f>
        <v>No Blood Sugar</v>
      </c>
      <c r="N150" t="str">
        <f t="shared" si="9"/>
        <v>Low Risk</v>
      </c>
    </row>
    <row r="151" spans="1:14">
      <c r="A151">
        <v>150</v>
      </c>
      <c r="B151" t="s">
        <v>165</v>
      </c>
      <c r="C151">
        <v>63</v>
      </c>
      <c r="D151" t="s">
        <v>15</v>
      </c>
      <c r="E151">
        <v>5</v>
      </c>
      <c r="F151" s="1">
        <v>45671</v>
      </c>
      <c r="G151" s="1">
        <v>45722</v>
      </c>
      <c r="H151">
        <v>2</v>
      </c>
      <c r="I151">
        <v>6926</v>
      </c>
      <c r="J151" t="str">
        <f>VLOOKUP(E151,diagnoses!A$2:B$11,2,FALSE)</f>
        <v>Stroke</v>
      </c>
      <c r="K151" t="str">
        <f>VLOOKUP(H151,outcomes!A$2:B$4,2,0)</f>
        <v>Complicated</v>
      </c>
      <c r="L151">
        <f t="shared" si="8"/>
        <v>51</v>
      </c>
      <c r="M151" t="str">
        <f>IF(labs!C151="Blood Sugar",IF(labs!D151&gt;120,"High","Low"),"No Blood Sugar")</f>
        <v>No Blood Sugar</v>
      </c>
      <c r="N151" t="str">
        <f t="shared" si="9"/>
        <v>High Risk</v>
      </c>
    </row>
    <row r="152" spans="1:14">
      <c r="A152">
        <v>151</v>
      </c>
      <c r="B152" t="s">
        <v>166</v>
      </c>
      <c r="C152">
        <v>62</v>
      </c>
      <c r="D152" t="s">
        <v>15</v>
      </c>
      <c r="E152">
        <v>6</v>
      </c>
      <c r="F152" s="1">
        <v>45800</v>
      </c>
      <c r="G152" s="1">
        <v>45807</v>
      </c>
      <c r="H152">
        <v>3</v>
      </c>
      <c r="I152">
        <v>9811</v>
      </c>
      <c r="J152" t="str">
        <f>VLOOKUP(E152,diagnoses!A$2:B$11,2,FALSE)</f>
        <v>COPD</v>
      </c>
      <c r="K152" t="str">
        <f>VLOOKUP(H152,outcomes!A$2:B$4,2,0)</f>
        <v>Deceased</v>
      </c>
      <c r="L152">
        <f t="shared" si="8"/>
        <v>7</v>
      </c>
      <c r="M152" t="str">
        <f>IF(labs!C152="Blood Sugar",IF(labs!D152&gt;120,"High","Low"),"No Blood Sugar")</f>
        <v>No Blood Sugar</v>
      </c>
      <c r="N152" t="str">
        <f t="shared" si="9"/>
        <v>High Risk</v>
      </c>
    </row>
    <row r="153" spans="1:14">
      <c r="A153">
        <v>152</v>
      </c>
      <c r="B153" t="s">
        <v>167</v>
      </c>
      <c r="C153">
        <v>77</v>
      </c>
      <c r="D153" t="s">
        <v>19</v>
      </c>
      <c r="E153">
        <v>9</v>
      </c>
      <c r="F153" s="1">
        <v>45816</v>
      </c>
      <c r="G153" s="1">
        <v>45821</v>
      </c>
      <c r="H153">
        <v>3</v>
      </c>
      <c r="I153">
        <v>8016</v>
      </c>
      <c r="J153" t="str">
        <f>VLOOKUP(E153,diagnoses!A$2:B$11,2,FALSE)</f>
        <v>Kidney Disease</v>
      </c>
      <c r="K153" t="str">
        <f>VLOOKUP(H153,outcomes!A$2:B$4,2,0)</f>
        <v>Deceased</v>
      </c>
      <c r="L153">
        <f t="shared" si="8"/>
        <v>5</v>
      </c>
      <c r="M153" t="str">
        <f>IF(labs!C153="Blood Sugar",IF(labs!D153&gt;120,"High","Low"),"No Blood Sugar")</f>
        <v>High</v>
      </c>
      <c r="N153" t="str">
        <f t="shared" si="9"/>
        <v>High Risk</v>
      </c>
    </row>
    <row r="154" spans="1:14">
      <c r="A154">
        <v>153</v>
      </c>
      <c r="B154" t="s">
        <v>168</v>
      </c>
      <c r="C154">
        <v>84</v>
      </c>
      <c r="D154" t="s">
        <v>19</v>
      </c>
      <c r="E154">
        <v>5</v>
      </c>
      <c r="F154" s="1">
        <v>45658</v>
      </c>
      <c r="G154" s="1">
        <v>45744</v>
      </c>
      <c r="H154">
        <v>1</v>
      </c>
      <c r="I154">
        <v>5335</v>
      </c>
      <c r="J154" t="str">
        <f>VLOOKUP(E154,diagnoses!A$2:B$11,2,FALSE)</f>
        <v>Stroke</v>
      </c>
      <c r="K154" t="str">
        <f>VLOOKUP(H154,outcomes!A$2:B$4,2,0)</f>
        <v>Recovered</v>
      </c>
      <c r="L154">
        <f t="shared" si="8"/>
        <v>86</v>
      </c>
      <c r="M154" t="str">
        <f>IF(labs!C154="Blood Sugar",IF(labs!D154&gt;120,"High","Low"),"No Blood Sugar")</f>
        <v>High</v>
      </c>
      <c r="N154" t="str">
        <f t="shared" si="9"/>
        <v>High Risk</v>
      </c>
    </row>
    <row r="155" spans="1:14">
      <c r="A155">
        <v>154</v>
      </c>
      <c r="B155" t="s">
        <v>169</v>
      </c>
      <c r="C155">
        <v>52</v>
      </c>
      <c r="D155" t="s">
        <v>19</v>
      </c>
      <c r="E155">
        <v>1</v>
      </c>
      <c r="F155" s="1">
        <v>45774</v>
      </c>
      <c r="G155" s="1">
        <v>45796</v>
      </c>
      <c r="H155">
        <v>2</v>
      </c>
      <c r="I155">
        <v>9068</v>
      </c>
      <c r="J155" t="str">
        <f>VLOOKUP(E155,diagnoses!A$2:B$11,2,FALSE)</f>
        <v>Hypertension</v>
      </c>
      <c r="K155" t="str">
        <f>VLOOKUP(H155,outcomes!A$2:B$4,2,0)</f>
        <v>Complicated</v>
      </c>
      <c r="L155">
        <f t="shared" si="8"/>
        <v>22</v>
      </c>
      <c r="M155" t="str">
        <f>IF(labs!C155="Blood Sugar",IF(labs!D155&gt;120,"High","Low"),"No Blood Sugar")</f>
        <v>No Blood Sugar</v>
      </c>
      <c r="N155" t="str">
        <f t="shared" si="9"/>
        <v>High Risk</v>
      </c>
    </row>
    <row r="156" spans="1:14">
      <c r="A156">
        <v>155</v>
      </c>
      <c r="B156" t="s">
        <v>170</v>
      </c>
      <c r="C156">
        <v>53</v>
      </c>
      <c r="D156" t="s">
        <v>19</v>
      </c>
      <c r="E156">
        <v>4</v>
      </c>
      <c r="F156" s="1">
        <v>45711</v>
      </c>
      <c r="G156" s="1">
        <v>45775</v>
      </c>
      <c r="H156">
        <v>1</v>
      </c>
      <c r="I156">
        <v>6150</v>
      </c>
      <c r="J156" t="str">
        <f>VLOOKUP(E156,diagnoses!A$2:B$11,2,FALSE)</f>
        <v>Asthma</v>
      </c>
      <c r="K156" t="str">
        <f>VLOOKUP(H156,outcomes!A$2:B$4,2,0)</f>
        <v>Recovered</v>
      </c>
      <c r="L156">
        <f t="shared" si="8"/>
        <v>64</v>
      </c>
      <c r="M156" t="str">
        <f>IF(labs!C156="Blood Sugar",IF(labs!D156&gt;120,"High","Low"),"No Blood Sugar")</f>
        <v>No Blood Sugar</v>
      </c>
      <c r="N156" t="str">
        <f t="shared" si="9"/>
        <v>Low Risk</v>
      </c>
    </row>
    <row r="157" spans="1:14">
      <c r="A157">
        <v>156</v>
      </c>
      <c r="B157" t="s">
        <v>171</v>
      </c>
      <c r="C157">
        <v>66</v>
      </c>
      <c r="D157" t="s">
        <v>15</v>
      </c>
      <c r="E157">
        <v>5</v>
      </c>
      <c r="F157" s="1">
        <v>45775</v>
      </c>
      <c r="G157" s="1">
        <v>45820</v>
      </c>
      <c r="H157">
        <v>1</v>
      </c>
      <c r="I157">
        <v>9810</v>
      </c>
      <c r="J157" t="str">
        <f>VLOOKUP(E157,diagnoses!A$2:B$11,2,FALSE)</f>
        <v>Stroke</v>
      </c>
      <c r="K157" t="str">
        <f>VLOOKUP(H157,outcomes!A$2:B$4,2,0)</f>
        <v>Recovered</v>
      </c>
      <c r="L157">
        <f t="shared" si="8"/>
        <v>45</v>
      </c>
      <c r="M157" t="str">
        <f>IF(labs!C157="Blood Sugar",IF(labs!D157&gt;120,"High","Low"),"No Blood Sugar")</f>
        <v>No Blood Sugar</v>
      </c>
      <c r="N157" t="str">
        <f t="shared" si="9"/>
        <v>High Risk</v>
      </c>
    </row>
    <row r="158" spans="1:14">
      <c r="A158">
        <v>157</v>
      </c>
      <c r="B158" t="s">
        <v>172</v>
      </c>
      <c r="C158">
        <v>64</v>
      </c>
      <c r="D158" t="s">
        <v>19</v>
      </c>
      <c r="E158">
        <v>10</v>
      </c>
      <c r="F158" s="1">
        <v>45660</v>
      </c>
      <c r="G158" s="1">
        <v>45680</v>
      </c>
      <c r="H158">
        <v>1</v>
      </c>
      <c r="I158">
        <v>6895</v>
      </c>
      <c r="J158" t="str">
        <f>VLOOKUP(E158,diagnoses!A$2:B$11,2,FALSE)</f>
        <v>Liver Disease</v>
      </c>
      <c r="K158" t="str">
        <f>VLOOKUP(H158,outcomes!A$2:B$4,2,0)</f>
        <v>Recovered</v>
      </c>
      <c r="L158">
        <f t="shared" si="8"/>
        <v>20</v>
      </c>
      <c r="M158" t="str">
        <f>IF(labs!C158="Blood Sugar",IF(labs!D158&gt;120,"High","Low"),"No Blood Sugar")</f>
        <v>No Blood Sugar</v>
      </c>
      <c r="N158" t="str">
        <f t="shared" si="9"/>
        <v>Low Risk</v>
      </c>
    </row>
    <row r="159" spans="1:14">
      <c r="A159">
        <v>158</v>
      </c>
      <c r="B159" t="s">
        <v>173</v>
      </c>
      <c r="C159">
        <v>73</v>
      </c>
      <c r="D159" t="s">
        <v>19</v>
      </c>
      <c r="E159">
        <v>10</v>
      </c>
      <c r="F159" s="1">
        <v>45801</v>
      </c>
      <c r="G159" s="1">
        <v>45810</v>
      </c>
      <c r="H159">
        <v>1</v>
      </c>
      <c r="I159">
        <v>6873</v>
      </c>
      <c r="J159" t="str">
        <f>VLOOKUP(E159,diagnoses!A$2:B$11,2,FALSE)</f>
        <v>Liver Disease</v>
      </c>
      <c r="K159" t="str">
        <f>VLOOKUP(H159,outcomes!A$2:B$4,2,0)</f>
        <v>Recovered</v>
      </c>
      <c r="L159">
        <f t="shared" si="8"/>
        <v>9</v>
      </c>
      <c r="M159" t="str">
        <f>IF(labs!C159="Blood Sugar",IF(labs!D159&gt;120,"High","Low"),"No Blood Sugar")</f>
        <v>No Blood Sugar</v>
      </c>
      <c r="N159" t="str">
        <f t="shared" si="9"/>
        <v>High Risk</v>
      </c>
    </row>
    <row r="160" spans="1:14">
      <c r="A160">
        <v>159</v>
      </c>
      <c r="B160" t="s">
        <v>174</v>
      </c>
      <c r="C160">
        <v>69</v>
      </c>
      <c r="D160" t="s">
        <v>15</v>
      </c>
      <c r="E160">
        <v>5</v>
      </c>
      <c r="F160" s="1">
        <v>45669</v>
      </c>
      <c r="G160" s="1">
        <v>45781</v>
      </c>
      <c r="H160">
        <v>3</v>
      </c>
      <c r="I160">
        <v>3481</v>
      </c>
      <c r="J160" t="str">
        <f>VLOOKUP(E160,diagnoses!A$2:B$11,2,FALSE)</f>
        <v>Stroke</v>
      </c>
      <c r="K160" t="str">
        <f>VLOOKUP(H160,outcomes!A$2:B$4,2,0)</f>
        <v>Deceased</v>
      </c>
      <c r="L160">
        <f t="shared" si="8"/>
        <v>112</v>
      </c>
      <c r="M160" t="str">
        <f>IF(labs!C160="Blood Sugar",IF(labs!D160&gt;120,"High","Low"),"No Blood Sugar")</f>
        <v>No Blood Sugar</v>
      </c>
      <c r="N160" t="str">
        <f t="shared" si="9"/>
        <v>High Risk</v>
      </c>
    </row>
    <row r="161" spans="1:14">
      <c r="A161">
        <v>160</v>
      </c>
      <c r="B161" t="s">
        <v>175</v>
      </c>
      <c r="C161">
        <v>51</v>
      </c>
      <c r="D161" t="s">
        <v>19</v>
      </c>
      <c r="E161">
        <v>7</v>
      </c>
      <c r="F161" s="1">
        <v>45731</v>
      </c>
      <c r="G161" s="1">
        <v>45735</v>
      </c>
      <c r="H161">
        <v>3</v>
      </c>
      <c r="I161">
        <v>3901</v>
      </c>
      <c r="J161" t="str">
        <f>VLOOKUP(E161,diagnoses!A$2:B$11,2,FALSE)</f>
        <v>Cancer</v>
      </c>
      <c r="K161" t="str">
        <f>VLOOKUP(H161,outcomes!A$2:B$4,2,0)</f>
        <v>Deceased</v>
      </c>
      <c r="L161">
        <f t="shared" si="8"/>
        <v>4</v>
      </c>
      <c r="M161" t="str">
        <f>IF(labs!C161="Blood Sugar",IF(labs!D161&gt;120,"High","Low"),"No Blood Sugar")</f>
        <v>No Blood Sugar</v>
      </c>
      <c r="N161" t="str">
        <f t="shared" si="9"/>
        <v>High Risk</v>
      </c>
    </row>
    <row r="162" spans="1:14">
      <c r="A162">
        <v>161</v>
      </c>
      <c r="B162" t="s">
        <v>176</v>
      </c>
      <c r="C162">
        <v>56</v>
      </c>
      <c r="D162" t="s">
        <v>15</v>
      </c>
      <c r="E162">
        <v>4</v>
      </c>
      <c r="F162" s="1">
        <v>45673</v>
      </c>
      <c r="G162" s="1">
        <v>45679</v>
      </c>
      <c r="H162">
        <v>1</v>
      </c>
      <c r="I162">
        <v>8305</v>
      </c>
      <c r="J162" t="str">
        <f>VLOOKUP(E162,diagnoses!A$2:B$11,2,FALSE)</f>
        <v>Asthma</v>
      </c>
      <c r="K162" t="str">
        <f>VLOOKUP(H162,outcomes!A$2:B$4,2,0)</f>
        <v>Recovered</v>
      </c>
      <c r="L162">
        <f t="shared" si="8"/>
        <v>6</v>
      </c>
      <c r="M162" t="str">
        <f>IF(labs!C162="Blood Sugar",IF(labs!D162&gt;120,"High","Low"),"No Blood Sugar")</f>
        <v>No Blood Sugar</v>
      </c>
      <c r="N162" t="str">
        <f t="shared" si="9"/>
        <v>Low Risk</v>
      </c>
    </row>
    <row r="163" spans="1:14">
      <c r="A163">
        <v>162</v>
      </c>
      <c r="B163" t="s">
        <v>177</v>
      </c>
      <c r="C163">
        <v>64</v>
      </c>
      <c r="D163" t="s">
        <v>19</v>
      </c>
      <c r="E163">
        <v>1</v>
      </c>
      <c r="F163" s="1">
        <v>45759</v>
      </c>
      <c r="G163" s="1">
        <v>45777</v>
      </c>
      <c r="H163">
        <v>2</v>
      </c>
      <c r="I163">
        <v>5451</v>
      </c>
      <c r="J163" t="str">
        <f>VLOOKUP(E163,diagnoses!A$2:B$11,2,FALSE)</f>
        <v>Hypertension</v>
      </c>
      <c r="K163" t="str">
        <f>VLOOKUP(H163,outcomes!A$2:B$4,2,0)</f>
        <v>Complicated</v>
      </c>
      <c r="L163">
        <f t="shared" ref="L163:L194" si="10">DATEDIF(F163,G163,"D")</f>
        <v>18</v>
      </c>
      <c r="M163" t="str">
        <f>IF(labs!C163="Blood Sugar",IF(labs!D163&gt;120,"High","Low"),"No Blood Sugar")</f>
        <v>No Blood Sugar</v>
      </c>
      <c r="N163" t="str">
        <f t="shared" ref="N163:N194" si="11">IF(OR(C163&gt;65,H163&gt;1),"High Risk","Low Risk")</f>
        <v>High Risk</v>
      </c>
    </row>
    <row r="164" spans="1:14">
      <c r="A164">
        <v>163</v>
      </c>
      <c r="B164" t="s">
        <v>178</v>
      </c>
      <c r="C164">
        <v>30</v>
      </c>
      <c r="D164" t="s">
        <v>19</v>
      </c>
      <c r="E164">
        <v>5</v>
      </c>
      <c r="F164" s="1">
        <v>45809</v>
      </c>
      <c r="G164" s="1">
        <v>45817</v>
      </c>
      <c r="H164">
        <v>2</v>
      </c>
      <c r="I164">
        <v>6064</v>
      </c>
      <c r="J164" t="str">
        <f>VLOOKUP(E164,diagnoses!A$2:B$11,2,FALSE)</f>
        <v>Stroke</v>
      </c>
      <c r="K164" t="str">
        <f>VLOOKUP(H164,outcomes!A$2:B$4,2,0)</f>
        <v>Complicated</v>
      </c>
      <c r="L164">
        <f t="shared" si="10"/>
        <v>8</v>
      </c>
      <c r="M164" t="str">
        <f>IF(labs!C164="Blood Sugar",IF(labs!D164&gt;120,"High","Low"),"No Blood Sugar")</f>
        <v>No Blood Sugar</v>
      </c>
      <c r="N164" t="str">
        <f t="shared" si="11"/>
        <v>High Risk</v>
      </c>
    </row>
    <row r="165" spans="1:14">
      <c r="A165">
        <v>164</v>
      </c>
      <c r="B165" t="s">
        <v>179</v>
      </c>
      <c r="C165">
        <v>64</v>
      </c>
      <c r="D165" t="s">
        <v>19</v>
      </c>
      <c r="E165">
        <v>7</v>
      </c>
      <c r="F165" s="1">
        <v>45813</v>
      </c>
      <c r="G165" s="1">
        <v>45814</v>
      </c>
      <c r="H165">
        <v>2</v>
      </c>
      <c r="I165">
        <v>8230</v>
      </c>
      <c r="J165" t="str">
        <f>VLOOKUP(E165,diagnoses!A$2:B$11,2,FALSE)</f>
        <v>Cancer</v>
      </c>
      <c r="K165" t="str">
        <f>VLOOKUP(H165,outcomes!A$2:B$4,2,0)</f>
        <v>Complicated</v>
      </c>
      <c r="L165">
        <f t="shared" si="10"/>
        <v>1</v>
      </c>
      <c r="M165" t="str">
        <f>IF(labs!C165="Blood Sugar",IF(labs!D165&gt;120,"High","Low"),"No Blood Sugar")</f>
        <v>No Blood Sugar</v>
      </c>
      <c r="N165" t="str">
        <f t="shared" si="11"/>
        <v>High Risk</v>
      </c>
    </row>
    <row r="166" spans="1:14">
      <c r="A166">
        <v>165</v>
      </c>
      <c r="B166" t="s">
        <v>180</v>
      </c>
      <c r="C166">
        <v>66</v>
      </c>
      <c r="D166" t="s">
        <v>15</v>
      </c>
      <c r="E166">
        <v>10</v>
      </c>
      <c r="F166" s="1">
        <v>45774</v>
      </c>
      <c r="G166" s="1">
        <v>45778</v>
      </c>
      <c r="H166">
        <v>2</v>
      </c>
      <c r="I166">
        <v>2054</v>
      </c>
      <c r="J166" t="str">
        <f>VLOOKUP(E166,diagnoses!A$2:B$11,2,FALSE)</f>
        <v>Liver Disease</v>
      </c>
      <c r="K166" t="str">
        <f>VLOOKUP(H166,outcomes!A$2:B$4,2,0)</f>
        <v>Complicated</v>
      </c>
      <c r="L166">
        <f t="shared" si="10"/>
        <v>4</v>
      </c>
      <c r="M166" t="str">
        <f>IF(labs!C166="Blood Sugar",IF(labs!D166&gt;120,"High","Low"),"No Blood Sugar")</f>
        <v>No Blood Sugar</v>
      </c>
      <c r="N166" t="str">
        <f t="shared" si="11"/>
        <v>High Risk</v>
      </c>
    </row>
    <row r="167" spans="1:14">
      <c r="A167">
        <v>166</v>
      </c>
      <c r="B167" t="s">
        <v>181</v>
      </c>
      <c r="C167">
        <v>76</v>
      </c>
      <c r="D167" t="s">
        <v>15</v>
      </c>
      <c r="E167">
        <v>10</v>
      </c>
      <c r="F167" s="1">
        <v>45665</v>
      </c>
      <c r="G167" s="1">
        <v>45704</v>
      </c>
      <c r="H167">
        <v>1</v>
      </c>
      <c r="I167">
        <v>9643</v>
      </c>
      <c r="J167" t="str">
        <f>VLOOKUP(E167,diagnoses!A$2:B$11,2,FALSE)</f>
        <v>Liver Disease</v>
      </c>
      <c r="K167" t="str">
        <f>VLOOKUP(H167,outcomes!A$2:B$4,2,0)</f>
        <v>Recovered</v>
      </c>
      <c r="L167">
        <f t="shared" si="10"/>
        <v>39</v>
      </c>
      <c r="M167" t="str">
        <f>IF(labs!C167="Blood Sugar",IF(labs!D167&gt;120,"High","Low"),"No Blood Sugar")</f>
        <v>No Blood Sugar</v>
      </c>
      <c r="N167" t="str">
        <f t="shared" si="11"/>
        <v>High Risk</v>
      </c>
    </row>
    <row r="168" spans="1:14">
      <c r="A168">
        <v>167</v>
      </c>
      <c r="B168" t="s">
        <v>182</v>
      </c>
      <c r="C168">
        <v>43</v>
      </c>
      <c r="D168" t="s">
        <v>19</v>
      </c>
      <c r="E168">
        <v>6</v>
      </c>
      <c r="F168" s="1">
        <v>45779</v>
      </c>
      <c r="G168" s="1">
        <v>45781</v>
      </c>
      <c r="H168">
        <v>3</v>
      </c>
      <c r="I168">
        <v>3823</v>
      </c>
      <c r="J168" t="str">
        <f>VLOOKUP(E168,diagnoses!A$2:B$11,2,FALSE)</f>
        <v>COPD</v>
      </c>
      <c r="K168" t="str">
        <f>VLOOKUP(H168,outcomes!A$2:B$4,2,0)</f>
        <v>Deceased</v>
      </c>
      <c r="L168">
        <f t="shared" si="10"/>
        <v>2</v>
      </c>
      <c r="M168" t="str">
        <f>IF(labs!C168="Blood Sugar",IF(labs!D168&gt;120,"High","Low"),"No Blood Sugar")</f>
        <v>No Blood Sugar</v>
      </c>
      <c r="N168" t="str">
        <f t="shared" si="11"/>
        <v>High Risk</v>
      </c>
    </row>
    <row r="169" spans="1:14">
      <c r="A169">
        <v>168</v>
      </c>
      <c r="B169" t="s">
        <v>183</v>
      </c>
      <c r="C169">
        <v>32</v>
      </c>
      <c r="D169" t="s">
        <v>15</v>
      </c>
      <c r="E169">
        <v>5</v>
      </c>
      <c r="F169" s="1">
        <v>45749</v>
      </c>
      <c r="G169" s="1">
        <v>45750</v>
      </c>
      <c r="H169">
        <v>2</v>
      </c>
      <c r="I169">
        <v>7297</v>
      </c>
      <c r="J169" t="str">
        <f>VLOOKUP(E169,diagnoses!A$2:B$11,2,FALSE)</f>
        <v>Stroke</v>
      </c>
      <c r="K169" t="str">
        <f>VLOOKUP(H169,outcomes!A$2:B$4,2,0)</f>
        <v>Complicated</v>
      </c>
      <c r="L169">
        <f t="shared" si="10"/>
        <v>1</v>
      </c>
      <c r="M169" t="str">
        <f>IF(labs!C169="Blood Sugar",IF(labs!D169&gt;120,"High","Low"),"No Blood Sugar")</f>
        <v>No Blood Sugar</v>
      </c>
      <c r="N169" t="str">
        <f t="shared" si="11"/>
        <v>High Risk</v>
      </c>
    </row>
    <row r="170" spans="1:14">
      <c r="A170">
        <v>169</v>
      </c>
      <c r="B170" t="s">
        <v>184</v>
      </c>
      <c r="C170">
        <v>30</v>
      </c>
      <c r="D170" t="s">
        <v>15</v>
      </c>
      <c r="E170">
        <v>4</v>
      </c>
      <c r="F170" s="1">
        <v>45821</v>
      </c>
      <c r="G170" s="1">
        <v>45827</v>
      </c>
      <c r="H170">
        <v>1</v>
      </c>
      <c r="I170">
        <v>5462</v>
      </c>
      <c r="J170" t="str">
        <f>VLOOKUP(E170,diagnoses!A$2:B$11,2,FALSE)</f>
        <v>Asthma</v>
      </c>
      <c r="K170" t="str">
        <f>VLOOKUP(H170,outcomes!A$2:B$4,2,0)</f>
        <v>Recovered</v>
      </c>
      <c r="L170">
        <f t="shared" si="10"/>
        <v>6</v>
      </c>
      <c r="M170" t="str">
        <f>IF(labs!C170="Blood Sugar",IF(labs!D170&gt;120,"High","Low"),"No Blood Sugar")</f>
        <v>No Blood Sugar</v>
      </c>
      <c r="N170" t="str">
        <f t="shared" si="11"/>
        <v>Low Risk</v>
      </c>
    </row>
    <row r="171" spans="1:14">
      <c r="A171">
        <v>170</v>
      </c>
      <c r="B171" t="s">
        <v>185</v>
      </c>
      <c r="C171">
        <v>34</v>
      </c>
      <c r="D171" t="s">
        <v>15</v>
      </c>
      <c r="E171">
        <v>2</v>
      </c>
      <c r="F171" s="1">
        <v>45747</v>
      </c>
      <c r="G171" s="1">
        <v>45754</v>
      </c>
      <c r="H171">
        <v>2</v>
      </c>
      <c r="I171">
        <v>9516</v>
      </c>
      <c r="J171" t="str">
        <f>VLOOKUP(E171,diagnoses!A$2:B$11,2,FALSE)</f>
        <v>Diabetes</v>
      </c>
      <c r="K171" t="str">
        <f>VLOOKUP(H171,outcomes!A$2:B$4,2,0)</f>
        <v>Complicated</v>
      </c>
      <c r="L171">
        <f t="shared" si="10"/>
        <v>7</v>
      </c>
      <c r="M171" t="str">
        <f>IF(labs!C171="Blood Sugar",IF(labs!D171&gt;120,"High","Low"),"No Blood Sugar")</f>
        <v>No Blood Sugar</v>
      </c>
      <c r="N171" t="str">
        <f t="shared" si="11"/>
        <v>High Risk</v>
      </c>
    </row>
    <row r="172" spans="1:14">
      <c r="A172">
        <v>171</v>
      </c>
      <c r="B172" t="s">
        <v>186</v>
      </c>
      <c r="C172">
        <v>55</v>
      </c>
      <c r="D172" t="s">
        <v>15</v>
      </c>
      <c r="E172">
        <v>4</v>
      </c>
      <c r="F172" s="1">
        <v>45793</v>
      </c>
      <c r="G172" s="1">
        <v>45798</v>
      </c>
      <c r="H172">
        <v>2</v>
      </c>
      <c r="I172">
        <v>5079</v>
      </c>
      <c r="J172" t="str">
        <f>VLOOKUP(E172,diagnoses!A$2:B$11,2,FALSE)</f>
        <v>Asthma</v>
      </c>
      <c r="K172" t="str">
        <f>VLOOKUP(H172,outcomes!A$2:B$4,2,0)</f>
        <v>Complicated</v>
      </c>
      <c r="L172">
        <f t="shared" si="10"/>
        <v>5</v>
      </c>
      <c r="M172" t="str">
        <f>IF(labs!C172="Blood Sugar",IF(labs!D172&gt;120,"High","Low"),"No Blood Sugar")</f>
        <v>Low</v>
      </c>
      <c r="N172" t="str">
        <f t="shared" si="11"/>
        <v>High Risk</v>
      </c>
    </row>
    <row r="173" spans="1:14">
      <c r="A173">
        <v>172</v>
      </c>
      <c r="B173" t="s">
        <v>187</v>
      </c>
      <c r="C173">
        <v>84</v>
      </c>
      <c r="D173" t="s">
        <v>15</v>
      </c>
      <c r="E173">
        <v>10</v>
      </c>
      <c r="F173" s="1">
        <v>45717</v>
      </c>
      <c r="G173" s="1">
        <v>45719</v>
      </c>
      <c r="H173">
        <v>1</v>
      </c>
      <c r="I173">
        <v>2832</v>
      </c>
      <c r="J173" t="str">
        <f>VLOOKUP(E173,diagnoses!A$2:B$11,2,FALSE)</f>
        <v>Liver Disease</v>
      </c>
      <c r="K173" t="str">
        <f>VLOOKUP(H173,outcomes!A$2:B$4,2,0)</f>
        <v>Recovered</v>
      </c>
      <c r="L173">
        <f t="shared" si="10"/>
        <v>2</v>
      </c>
      <c r="M173" t="str">
        <f>IF(labs!C173="Blood Sugar",IF(labs!D173&gt;120,"High","Low"),"No Blood Sugar")</f>
        <v>No Blood Sugar</v>
      </c>
      <c r="N173" t="str">
        <f t="shared" si="11"/>
        <v>High Risk</v>
      </c>
    </row>
    <row r="174" spans="1:14">
      <c r="A174">
        <v>173</v>
      </c>
      <c r="B174" t="s">
        <v>188</v>
      </c>
      <c r="C174">
        <v>43</v>
      </c>
      <c r="D174" t="s">
        <v>15</v>
      </c>
      <c r="E174">
        <v>10</v>
      </c>
      <c r="F174" s="1">
        <v>45835</v>
      </c>
      <c r="G174" s="1">
        <v>45839</v>
      </c>
      <c r="H174">
        <v>3</v>
      </c>
      <c r="I174">
        <v>6408</v>
      </c>
      <c r="J174" t="str">
        <f>VLOOKUP(E174,diagnoses!A$2:B$11,2,FALSE)</f>
        <v>Liver Disease</v>
      </c>
      <c r="K174" t="str">
        <f>VLOOKUP(H174,outcomes!A$2:B$4,2,0)</f>
        <v>Deceased</v>
      </c>
      <c r="L174">
        <f t="shared" si="10"/>
        <v>4</v>
      </c>
      <c r="M174" t="str">
        <f>IF(labs!C174="Blood Sugar",IF(labs!D174&gt;120,"High","Low"),"No Blood Sugar")</f>
        <v>No Blood Sugar</v>
      </c>
      <c r="N174" t="str">
        <f t="shared" si="11"/>
        <v>High Risk</v>
      </c>
    </row>
    <row r="175" spans="1:14">
      <c r="A175">
        <v>174</v>
      </c>
      <c r="B175" t="s">
        <v>189</v>
      </c>
      <c r="C175">
        <v>68</v>
      </c>
      <c r="D175" t="s">
        <v>19</v>
      </c>
      <c r="E175">
        <v>3</v>
      </c>
      <c r="F175" s="1">
        <v>45685</v>
      </c>
      <c r="G175" s="1">
        <v>45792</v>
      </c>
      <c r="H175">
        <v>3</v>
      </c>
      <c r="I175">
        <v>4806</v>
      </c>
      <c r="J175" t="str">
        <f>VLOOKUP(E175,diagnoses!A$2:B$11,2,FALSE)</f>
        <v>Heart Disease</v>
      </c>
      <c r="K175" t="str">
        <f>VLOOKUP(H175,outcomes!A$2:B$4,2,0)</f>
        <v>Deceased</v>
      </c>
      <c r="L175">
        <f t="shared" si="10"/>
        <v>107</v>
      </c>
      <c r="M175" t="str">
        <f>IF(labs!C175="Blood Sugar",IF(labs!D175&gt;120,"High","Low"),"No Blood Sugar")</f>
        <v>No Blood Sugar</v>
      </c>
      <c r="N175" t="str">
        <f t="shared" si="11"/>
        <v>High Risk</v>
      </c>
    </row>
    <row r="176" spans="1:14">
      <c r="A176">
        <v>175</v>
      </c>
      <c r="B176" t="s">
        <v>190</v>
      </c>
      <c r="C176">
        <v>56</v>
      </c>
      <c r="D176" t="s">
        <v>19</v>
      </c>
      <c r="E176">
        <v>10</v>
      </c>
      <c r="F176" s="1">
        <v>45758</v>
      </c>
      <c r="G176" s="1">
        <v>45768</v>
      </c>
      <c r="H176">
        <v>1</v>
      </c>
      <c r="I176">
        <v>7954</v>
      </c>
      <c r="J176" t="str">
        <f>VLOOKUP(E176,diagnoses!A$2:B$11,2,FALSE)</f>
        <v>Liver Disease</v>
      </c>
      <c r="K176" t="str">
        <f>VLOOKUP(H176,outcomes!A$2:B$4,2,0)</f>
        <v>Recovered</v>
      </c>
      <c r="L176">
        <f t="shared" si="10"/>
        <v>10</v>
      </c>
      <c r="M176" t="str">
        <f>IF(labs!C176="Blood Sugar",IF(labs!D176&gt;120,"High","Low"),"No Blood Sugar")</f>
        <v>No Blood Sugar</v>
      </c>
      <c r="N176" t="str">
        <f t="shared" si="11"/>
        <v>Low Risk</v>
      </c>
    </row>
    <row r="177" spans="1:14">
      <c r="A177">
        <v>176</v>
      </c>
      <c r="B177" t="s">
        <v>191</v>
      </c>
      <c r="C177">
        <v>38</v>
      </c>
      <c r="D177" t="s">
        <v>15</v>
      </c>
      <c r="E177">
        <v>1</v>
      </c>
      <c r="F177" s="1">
        <v>45698</v>
      </c>
      <c r="G177" s="1">
        <v>45704</v>
      </c>
      <c r="H177">
        <v>3</v>
      </c>
      <c r="I177">
        <v>8103</v>
      </c>
      <c r="J177" t="str">
        <f>VLOOKUP(E177,diagnoses!A$2:B$11,2,FALSE)</f>
        <v>Hypertension</v>
      </c>
      <c r="K177" t="str">
        <f>VLOOKUP(H177,outcomes!A$2:B$4,2,0)</f>
        <v>Deceased</v>
      </c>
      <c r="L177">
        <f t="shared" si="10"/>
        <v>6</v>
      </c>
      <c r="M177" t="str">
        <f>IF(labs!C177="Blood Sugar",IF(labs!D177&gt;120,"High","Low"),"No Blood Sugar")</f>
        <v>No Blood Sugar</v>
      </c>
      <c r="N177" t="str">
        <f t="shared" si="11"/>
        <v>High Risk</v>
      </c>
    </row>
    <row r="178" spans="1:14">
      <c r="A178">
        <v>177</v>
      </c>
      <c r="B178" t="s">
        <v>192</v>
      </c>
      <c r="C178">
        <v>44</v>
      </c>
      <c r="D178" t="s">
        <v>19</v>
      </c>
      <c r="E178">
        <v>8</v>
      </c>
      <c r="F178" s="1">
        <v>45812</v>
      </c>
      <c r="G178" s="1">
        <v>45816</v>
      </c>
      <c r="H178">
        <v>1</v>
      </c>
      <c r="I178">
        <v>8102</v>
      </c>
      <c r="J178" t="str">
        <f>VLOOKUP(E178,diagnoses!A$2:B$11,2,FALSE)</f>
        <v>Arthritis</v>
      </c>
      <c r="K178" t="str">
        <f>VLOOKUP(H178,outcomes!A$2:B$4,2,0)</f>
        <v>Recovered</v>
      </c>
      <c r="L178">
        <f t="shared" si="10"/>
        <v>4</v>
      </c>
      <c r="M178" t="str">
        <f>IF(labs!C178="Blood Sugar",IF(labs!D178&gt;120,"High","Low"),"No Blood Sugar")</f>
        <v>No Blood Sugar</v>
      </c>
      <c r="N178" t="str">
        <f t="shared" si="11"/>
        <v>Low Risk</v>
      </c>
    </row>
    <row r="179" spans="1:14">
      <c r="A179">
        <v>178</v>
      </c>
      <c r="B179" t="s">
        <v>193</v>
      </c>
      <c r="C179">
        <v>44</v>
      </c>
      <c r="D179" t="s">
        <v>19</v>
      </c>
      <c r="E179">
        <v>5</v>
      </c>
      <c r="F179" s="1">
        <v>45802</v>
      </c>
      <c r="G179" s="1">
        <v>45810</v>
      </c>
      <c r="H179">
        <v>1</v>
      </c>
      <c r="I179">
        <v>4490</v>
      </c>
      <c r="J179" t="str">
        <f>VLOOKUP(E179,diagnoses!A$2:B$11,2,FALSE)</f>
        <v>Stroke</v>
      </c>
      <c r="K179" t="str">
        <f>VLOOKUP(H179,outcomes!A$2:B$4,2,0)</f>
        <v>Recovered</v>
      </c>
      <c r="L179">
        <f t="shared" si="10"/>
        <v>8</v>
      </c>
      <c r="M179" t="str">
        <f>IF(labs!C179="Blood Sugar",IF(labs!D179&gt;120,"High","Low"),"No Blood Sugar")</f>
        <v>No Blood Sugar</v>
      </c>
      <c r="N179" t="str">
        <f t="shared" si="11"/>
        <v>Low Risk</v>
      </c>
    </row>
    <row r="180" spans="1:14">
      <c r="A180">
        <v>179</v>
      </c>
      <c r="B180" t="s">
        <v>194</v>
      </c>
      <c r="C180">
        <v>55</v>
      </c>
      <c r="D180" t="s">
        <v>19</v>
      </c>
      <c r="E180">
        <v>4</v>
      </c>
      <c r="F180" s="1">
        <v>45818</v>
      </c>
      <c r="G180" s="1">
        <v>45825</v>
      </c>
      <c r="H180">
        <v>1</v>
      </c>
      <c r="I180">
        <v>7886</v>
      </c>
      <c r="J180" t="str">
        <f>VLOOKUP(E180,diagnoses!A$2:B$11,2,FALSE)</f>
        <v>Asthma</v>
      </c>
      <c r="K180" t="str">
        <f>VLOOKUP(H180,outcomes!A$2:B$4,2,0)</f>
        <v>Recovered</v>
      </c>
      <c r="L180">
        <f t="shared" si="10"/>
        <v>7</v>
      </c>
      <c r="M180" t="str">
        <f>IF(labs!C180="Blood Sugar",IF(labs!D180&gt;120,"High","Low"),"No Blood Sugar")</f>
        <v>No Blood Sugar</v>
      </c>
      <c r="N180" t="str">
        <f t="shared" si="11"/>
        <v>Low Risk</v>
      </c>
    </row>
    <row r="181" spans="1:14">
      <c r="A181">
        <v>180</v>
      </c>
      <c r="B181" t="s">
        <v>195</v>
      </c>
      <c r="C181">
        <v>71</v>
      </c>
      <c r="D181" t="s">
        <v>19</v>
      </c>
      <c r="E181">
        <v>8</v>
      </c>
      <c r="F181" s="1">
        <v>45814</v>
      </c>
      <c r="G181" s="1">
        <v>45822</v>
      </c>
      <c r="H181">
        <v>3</v>
      </c>
      <c r="I181">
        <v>2327</v>
      </c>
      <c r="J181" t="str">
        <f>VLOOKUP(E181,diagnoses!A$2:B$11,2,FALSE)</f>
        <v>Arthritis</v>
      </c>
      <c r="K181" t="str">
        <f>VLOOKUP(H181,outcomes!A$2:B$4,2,0)</f>
        <v>Deceased</v>
      </c>
      <c r="L181">
        <f t="shared" si="10"/>
        <v>8</v>
      </c>
      <c r="M181" t="str">
        <f>IF(labs!C181="Blood Sugar",IF(labs!D181&gt;120,"High","Low"),"No Blood Sugar")</f>
        <v>No Blood Sugar</v>
      </c>
      <c r="N181" t="str">
        <f t="shared" si="11"/>
        <v>High Risk</v>
      </c>
    </row>
    <row r="182" spans="1:14">
      <c r="A182">
        <v>181</v>
      </c>
      <c r="B182" t="s">
        <v>196</v>
      </c>
      <c r="C182">
        <v>89</v>
      </c>
      <c r="D182" t="s">
        <v>15</v>
      </c>
      <c r="E182">
        <v>7</v>
      </c>
      <c r="F182" s="1">
        <v>45798</v>
      </c>
      <c r="G182" s="1">
        <v>45804</v>
      </c>
      <c r="H182">
        <v>1</v>
      </c>
      <c r="I182">
        <v>9221</v>
      </c>
      <c r="J182" t="str">
        <f>VLOOKUP(E182,diagnoses!A$2:B$11,2,FALSE)</f>
        <v>Cancer</v>
      </c>
      <c r="K182" t="str">
        <f>VLOOKUP(H182,outcomes!A$2:B$4,2,0)</f>
        <v>Recovered</v>
      </c>
      <c r="L182">
        <f t="shared" si="10"/>
        <v>6</v>
      </c>
      <c r="M182" t="str">
        <f>IF(labs!C182="Blood Sugar",IF(labs!D182&gt;120,"High","Low"),"No Blood Sugar")</f>
        <v>No Blood Sugar</v>
      </c>
      <c r="N182" t="str">
        <f t="shared" si="11"/>
        <v>High Risk</v>
      </c>
    </row>
    <row r="183" spans="1:14">
      <c r="A183">
        <v>182</v>
      </c>
      <c r="B183" t="s">
        <v>197</v>
      </c>
      <c r="C183">
        <v>42</v>
      </c>
      <c r="D183" t="s">
        <v>19</v>
      </c>
      <c r="E183">
        <v>2</v>
      </c>
      <c r="F183" s="1">
        <v>45703</v>
      </c>
      <c r="G183" s="1">
        <v>45733</v>
      </c>
      <c r="H183">
        <v>2</v>
      </c>
      <c r="I183">
        <v>8904</v>
      </c>
      <c r="J183" t="str">
        <f>VLOOKUP(E183,diagnoses!A$2:B$11,2,FALSE)</f>
        <v>Diabetes</v>
      </c>
      <c r="K183" t="str">
        <f>VLOOKUP(H183,outcomes!A$2:B$4,2,0)</f>
        <v>Complicated</v>
      </c>
      <c r="L183">
        <f t="shared" si="10"/>
        <v>30</v>
      </c>
      <c r="M183" t="str">
        <f>IF(labs!C183="Blood Sugar",IF(labs!D183&gt;120,"High","Low"),"No Blood Sugar")</f>
        <v>No Blood Sugar</v>
      </c>
      <c r="N183" t="str">
        <f t="shared" si="11"/>
        <v>High Risk</v>
      </c>
    </row>
    <row r="184" spans="1:14">
      <c r="A184">
        <v>183</v>
      </c>
      <c r="B184" t="s">
        <v>198</v>
      </c>
      <c r="C184">
        <v>80</v>
      </c>
      <c r="D184" t="s">
        <v>19</v>
      </c>
      <c r="E184">
        <v>1</v>
      </c>
      <c r="F184" s="1">
        <v>45692</v>
      </c>
      <c r="G184" s="1">
        <v>45775</v>
      </c>
      <c r="H184">
        <v>3</v>
      </c>
      <c r="I184">
        <v>5310</v>
      </c>
      <c r="J184" t="str">
        <f>VLOOKUP(E184,diagnoses!A$2:B$11,2,FALSE)</f>
        <v>Hypertension</v>
      </c>
      <c r="K184" t="str">
        <f>VLOOKUP(H184,outcomes!A$2:B$4,2,0)</f>
        <v>Deceased</v>
      </c>
      <c r="L184">
        <f t="shared" si="10"/>
        <v>83</v>
      </c>
      <c r="M184" t="str">
        <f>IF(labs!C184="Blood Sugar",IF(labs!D184&gt;120,"High","Low"),"No Blood Sugar")</f>
        <v>Low</v>
      </c>
      <c r="N184" t="str">
        <f t="shared" si="11"/>
        <v>High Risk</v>
      </c>
    </row>
    <row r="185" spans="1:14">
      <c r="A185">
        <v>184</v>
      </c>
      <c r="B185" t="s">
        <v>199</v>
      </c>
      <c r="C185">
        <v>61</v>
      </c>
      <c r="D185" t="s">
        <v>15</v>
      </c>
      <c r="E185">
        <v>4</v>
      </c>
      <c r="F185" s="1">
        <v>45791</v>
      </c>
      <c r="G185" s="1">
        <v>45812</v>
      </c>
      <c r="H185">
        <v>3</v>
      </c>
      <c r="I185">
        <v>5300</v>
      </c>
      <c r="J185" t="str">
        <f>VLOOKUP(E185,diagnoses!A$2:B$11,2,FALSE)</f>
        <v>Asthma</v>
      </c>
      <c r="K185" t="str">
        <f>VLOOKUP(H185,outcomes!A$2:B$4,2,0)</f>
        <v>Deceased</v>
      </c>
      <c r="L185">
        <f t="shared" si="10"/>
        <v>21</v>
      </c>
      <c r="M185" t="str">
        <f>IF(labs!C185="Blood Sugar",IF(labs!D185&gt;120,"High","Low"),"No Blood Sugar")</f>
        <v>No Blood Sugar</v>
      </c>
      <c r="N185" t="str">
        <f t="shared" si="11"/>
        <v>High Risk</v>
      </c>
    </row>
    <row r="186" spans="1:14">
      <c r="A186">
        <v>185</v>
      </c>
      <c r="B186" t="s">
        <v>200</v>
      </c>
      <c r="C186">
        <v>68</v>
      </c>
      <c r="D186" t="s">
        <v>15</v>
      </c>
      <c r="E186">
        <v>8</v>
      </c>
      <c r="F186" s="1">
        <v>45739</v>
      </c>
      <c r="G186" s="1">
        <v>45777</v>
      </c>
      <c r="H186">
        <v>3</v>
      </c>
      <c r="I186">
        <v>8722</v>
      </c>
      <c r="J186" t="str">
        <f>VLOOKUP(E186,diagnoses!A$2:B$11,2,FALSE)</f>
        <v>Arthritis</v>
      </c>
      <c r="K186" t="str">
        <f>VLOOKUP(H186,outcomes!A$2:B$4,2,0)</f>
        <v>Deceased</v>
      </c>
      <c r="L186">
        <f t="shared" si="10"/>
        <v>38</v>
      </c>
      <c r="M186" t="str">
        <f>IF(labs!C186="Blood Sugar",IF(labs!D186&gt;120,"High","Low"),"No Blood Sugar")</f>
        <v>No Blood Sugar</v>
      </c>
      <c r="N186" t="str">
        <f t="shared" si="11"/>
        <v>High Risk</v>
      </c>
    </row>
    <row r="187" spans="1:14">
      <c r="A187">
        <v>186</v>
      </c>
      <c r="B187" t="s">
        <v>201</v>
      </c>
      <c r="C187">
        <v>78</v>
      </c>
      <c r="D187" t="s">
        <v>19</v>
      </c>
      <c r="E187">
        <v>2</v>
      </c>
      <c r="F187" s="1">
        <v>45772</v>
      </c>
      <c r="G187" s="1">
        <v>45777</v>
      </c>
      <c r="H187">
        <v>3</v>
      </c>
      <c r="I187">
        <v>9218</v>
      </c>
      <c r="J187" t="str">
        <f>VLOOKUP(E187,diagnoses!A$2:B$11,2,FALSE)</f>
        <v>Diabetes</v>
      </c>
      <c r="K187" t="str">
        <f>VLOOKUP(H187,outcomes!A$2:B$4,2,0)</f>
        <v>Deceased</v>
      </c>
      <c r="L187">
        <f t="shared" si="10"/>
        <v>5</v>
      </c>
      <c r="M187" t="str">
        <f>IF(labs!C187="Blood Sugar",IF(labs!D187&gt;120,"High","Low"),"No Blood Sugar")</f>
        <v>No Blood Sugar</v>
      </c>
      <c r="N187" t="str">
        <f t="shared" si="11"/>
        <v>High Risk</v>
      </c>
    </row>
    <row r="188" spans="1:14">
      <c r="A188">
        <v>187</v>
      </c>
      <c r="B188" t="s">
        <v>202</v>
      </c>
      <c r="C188">
        <v>81</v>
      </c>
      <c r="D188" t="s">
        <v>19</v>
      </c>
      <c r="E188">
        <v>3</v>
      </c>
      <c r="F188" s="1">
        <v>45704</v>
      </c>
      <c r="G188" s="1">
        <v>45707</v>
      </c>
      <c r="H188">
        <v>2</v>
      </c>
      <c r="I188">
        <v>9776</v>
      </c>
      <c r="J188" t="str">
        <f>VLOOKUP(E188,diagnoses!A$2:B$11,2,FALSE)</f>
        <v>Heart Disease</v>
      </c>
      <c r="K188" t="str">
        <f>VLOOKUP(H188,outcomes!A$2:B$4,2,0)</f>
        <v>Complicated</v>
      </c>
      <c r="L188">
        <f t="shared" si="10"/>
        <v>3</v>
      </c>
      <c r="M188" t="str">
        <f>IF(labs!C188="Blood Sugar",IF(labs!D188&gt;120,"High","Low"),"No Blood Sugar")</f>
        <v>High</v>
      </c>
      <c r="N188" t="str">
        <f t="shared" si="11"/>
        <v>High Risk</v>
      </c>
    </row>
    <row r="189" spans="1:14">
      <c r="A189">
        <v>188</v>
      </c>
      <c r="B189" t="s">
        <v>203</v>
      </c>
      <c r="C189">
        <v>61</v>
      </c>
      <c r="D189" t="s">
        <v>19</v>
      </c>
      <c r="E189">
        <v>1</v>
      </c>
      <c r="F189" s="1">
        <v>45810</v>
      </c>
      <c r="G189" s="1">
        <v>45815</v>
      </c>
      <c r="H189">
        <v>3</v>
      </c>
      <c r="I189">
        <v>5675</v>
      </c>
      <c r="J189" t="str">
        <f>VLOOKUP(E189,diagnoses!A$2:B$11,2,FALSE)</f>
        <v>Hypertension</v>
      </c>
      <c r="K189" t="str">
        <f>VLOOKUP(H189,outcomes!A$2:B$4,2,0)</f>
        <v>Deceased</v>
      </c>
      <c r="L189">
        <f t="shared" si="10"/>
        <v>5</v>
      </c>
      <c r="M189" t="str">
        <f>IF(labs!C189="Blood Sugar",IF(labs!D189&gt;120,"High","Low"),"No Blood Sugar")</f>
        <v>No Blood Sugar</v>
      </c>
      <c r="N189" t="str">
        <f t="shared" si="11"/>
        <v>High Risk</v>
      </c>
    </row>
    <row r="190" spans="1:14">
      <c r="A190">
        <v>189</v>
      </c>
      <c r="B190" t="s">
        <v>204</v>
      </c>
      <c r="C190">
        <v>33</v>
      </c>
      <c r="D190" t="s">
        <v>19</v>
      </c>
      <c r="E190">
        <v>1</v>
      </c>
      <c r="F190" s="1">
        <v>45667</v>
      </c>
      <c r="G190" s="1">
        <v>45674</v>
      </c>
      <c r="H190">
        <v>3</v>
      </c>
      <c r="I190">
        <v>5054</v>
      </c>
      <c r="J190" t="str">
        <f>VLOOKUP(E190,diagnoses!A$2:B$11,2,FALSE)</f>
        <v>Hypertension</v>
      </c>
      <c r="K190" t="str">
        <f>VLOOKUP(H190,outcomes!A$2:B$4,2,0)</f>
        <v>Deceased</v>
      </c>
      <c r="L190">
        <f t="shared" si="10"/>
        <v>7</v>
      </c>
      <c r="M190" t="str">
        <f>IF(labs!C190="Blood Sugar",IF(labs!D190&gt;120,"High","Low"),"No Blood Sugar")</f>
        <v>No Blood Sugar</v>
      </c>
      <c r="N190" t="str">
        <f t="shared" si="11"/>
        <v>High Risk</v>
      </c>
    </row>
    <row r="191" spans="1:14">
      <c r="A191">
        <v>190</v>
      </c>
      <c r="B191" t="s">
        <v>205</v>
      </c>
      <c r="C191">
        <v>59</v>
      </c>
      <c r="D191" t="s">
        <v>19</v>
      </c>
      <c r="E191">
        <v>3</v>
      </c>
      <c r="F191" s="1">
        <v>45713</v>
      </c>
      <c r="G191" s="1">
        <v>45834</v>
      </c>
      <c r="H191">
        <v>1</v>
      </c>
      <c r="I191">
        <v>7383</v>
      </c>
      <c r="J191" t="str">
        <f>VLOOKUP(E191,diagnoses!A$2:B$11,2,FALSE)</f>
        <v>Heart Disease</v>
      </c>
      <c r="K191" t="str">
        <f>VLOOKUP(H191,outcomes!A$2:B$4,2,0)</f>
        <v>Recovered</v>
      </c>
      <c r="L191">
        <f t="shared" si="10"/>
        <v>121</v>
      </c>
      <c r="M191" t="str">
        <f>IF(labs!C191="Blood Sugar",IF(labs!D191&gt;120,"High","Low"),"No Blood Sugar")</f>
        <v>High</v>
      </c>
      <c r="N191" t="str">
        <f t="shared" si="11"/>
        <v>Low Risk</v>
      </c>
    </row>
    <row r="192" spans="1:14">
      <c r="A192">
        <v>191</v>
      </c>
      <c r="B192" t="s">
        <v>206</v>
      </c>
      <c r="C192">
        <v>66</v>
      </c>
      <c r="D192" t="s">
        <v>19</v>
      </c>
      <c r="E192">
        <v>5</v>
      </c>
      <c r="F192" s="1">
        <v>45687</v>
      </c>
      <c r="G192" s="1">
        <v>45779</v>
      </c>
      <c r="H192">
        <v>3</v>
      </c>
      <c r="I192">
        <v>9585</v>
      </c>
      <c r="J192" t="str">
        <f>VLOOKUP(E192,diagnoses!A$2:B$11,2,FALSE)</f>
        <v>Stroke</v>
      </c>
      <c r="K192" t="str">
        <f>VLOOKUP(H192,outcomes!A$2:B$4,2,0)</f>
        <v>Deceased</v>
      </c>
      <c r="L192">
        <f t="shared" si="10"/>
        <v>92</v>
      </c>
      <c r="M192" t="str">
        <f>IF(labs!C192="Blood Sugar",IF(labs!D192&gt;120,"High","Low"),"No Blood Sugar")</f>
        <v>No Blood Sugar</v>
      </c>
      <c r="N192" t="str">
        <f t="shared" si="11"/>
        <v>High Risk</v>
      </c>
    </row>
    <row r="193" spans="1:14">
      <c r="A193">
        <v>192</v>
      </c>
      <c r="B193" t="s">
        <v>207</v>
      </c>
      <c r="C193">
        <v>52</v>
      </c>
      <c r="D193" t="s">
        <v>15</v>
      </c>
      <c r="E193">
        <v>3</v>
      </c>
      <c r="F193" s="1">
        <v>45766</v>
      </c>
      <c r="G193" s="1">
        <v>45769</v>
      </c>
      <c r="H193">
        <v>2</v>
      </c>
      <c r="I193">
        <v>9970</v>
      </c>
      <c r="J193" t="str">
        <f>VLOOKUP(E193,diagnoses!A$2:B$11,2,FALSE)</f>
        <v>Heart Disease</v>
      </c>
      <c r="K193" t="str">
        <f>VLOOKUP(H193,outcomes!A$2:B$4,2,0)</f>
        <v>Complicated</v>
      </c>
      <c r="L193">
        <f t="shared" si="10"/>
        <v>3</v>
      </c>
      <c r="M193" t="str">
        <f>IF(labs!C193="Blood Sugar",IF(labs!D193&gt;120,"High","Low"),"No Blood Sugar")</f>
        <v>No Blood Sugar</v>
      </c>
      <c r="N193" t="str">
        <f t="shared" si="11"/>
        <v>High Risk</v>
      </c>
    </row>
    <row r="194" spans="1:14">
      <c r="A194">
        <v>193</v>
      </c>
      <c r="B194" t="s">
        <v>208</v>
      </c>
      <c r="C194">
        <v>68</v>
      </c>
      <c r="D194" t="s">
        <v>19</v>
      </c>
      <c r="E194">
        <v>1</v>
      </c>
      <c r="F194" s="1">
        <v>45662</v>
      </c>
      <c r="G194" s="1">
        <v>45708</v>
      </c>
      <c r="H194">
        <v>2</v>
      </c>
      <c r="I194">
        <v>4143</v>
      </c>
      <c r="J194" t="str">
        <f>VLOOKUP(E194,diagnoses!A$2:B$11,2,FALSE)</f>
        <v>Hypertension</v>
      </c>
      <c r="K194" t="str">
        <f>VLOOKUP(H194,outcomes!A$2:B$4,2,0)</f>
        <v>Complicated</v>
      </c>
      <c r="L194">
        <f t="shared" si="10"/>
        <v>46</v>
      </c>
      <c r="M194" t="str">
        <f>IF(labs!C194="Blood Sugar",IF(labs!D194&gt;120,"High","Low"),"No Blood Sugar")</f>
        <v>No Blood Sugar</v>
      </c>
      <c r="N194" t="str">
        <f t="shared" si="11"/>
        <v>High Risk</v>
      </c>
    </row>
    <row r="195" spans="1:14">
      <c r="A195">
        <v>194</v>
      </c>
      <c r="B195" t="s">
        <v>209</v>
      </c>
      <c r="C195">
        <v>74</v>
      </c>
      <c r="D195" t="s">
        <v>19</v>
      </c>
      <c r="E195">
        <v>1</v>
      </c>
      <c r="F195" s="1">
        <v>45776</v>
      </c>
      <c r="G195" s="1">
        <v>45835</v>
      </c>
      <c r="H195">
        <v>2</v>
      </c>
      <c r="I195">
        <v>7207</v>
      </c>
      <c r="J195" t="str">
        <f>VLOOKUP(E195,diagnoses!A$2:B$11,2,FALSE)</f>
        <v>Hypertension</v>
      </c>
      <c r="K195" t="str">
        <f>VLOOKUP(H195,outcomes!A$2:B$4,2,0)</f>
        <v>Complicated</v>
      </c>
      <c r="L195">
        <f>DATEDIF(F195,G195,"D")</f>
        <v>59</v>
      </c>
      <c r="M195" t="str">
        <f>IF(labs!C195="Blood Sugar",IF(labs!D195&gt;120,"High","Low"),"No Blood Sugar")</f>
        <v>Low</v>
      </c>
      <c r="N195" t="str">
        <f>IF(OR(C195&gt;65,H195&gt;1),"High Risk","Low Risk")</f>
        <v>High Risk</v>
      </c>
    </row>
    <row r="196" spans="1:14">
      <c r="A196">
        <v>195</v>
      </c>
      <c r="B196" t="s">
        <v>210</v>
      </c>
      <c r="C196">
        <v>44</v>
      </c>
      <c r="D196" t="s">
        <v>15</v>
      </c>
      <c r="E196">
        <v>8</v>
      </c>
      <c r="F196" s="1">
        <v>45690</v>
      </c>
      <c r="G196" s="1">
        <v>45767</v>
      </c>
      <c r="H196">
        <v>2</v>
      </c>
      <c r="I196">
        <v>9245</v>
      </c>
      <c r="J196" t="str">
        <f>VLOOKUP(E196,diagnoses!A$2:B$11,2,FALSE)</f>
        <v>Arthritis</v>
      </c>
      <c r="K196" t="str">
        <f>VLOOKUP(H196,outcomes!A$2:B$4,2,0)</f>
        <v>Complicated</v>
      </c>
      <c r="L196">
        <f>DATEDIF(F196,G196,"D")</f>
        <v>77</v>
      </c>
      <c r="M196" t="str">
        <f>IF(labs!C196="Blood Sugar",IF(labs!D196&gt;120,"High","Low"),"No Blood Sugar")</f>
        <v>No Blood Sugar</v>
      </c>
      <c r="N196" t="str">
        <f>IF(OR(C196&gt;65,H196&gt;1),"High Risk","Low Risk")</f>
        <v>High Risk</v>
      </c>
    </row>
    <row r="197" spans="1:14">
      <c r="A197">
        <v>196</v>
      </c>
      <c r="B197" t="s">
        <v>211</v>
      </c>
      <c r="C197">
        <v>72</v>
      </c>
      <c r="D197" t="s">
        <v>15</v>
      </c>
      <c r="E197">
        <v>10</v>
      </c>
      <c r="F197" s="1">
        <v>45775</v>
      </c>
      <c r="G197" s="1">
        <v>45779</v>
      </c>
      <c r="H197">
        <v>3</v>
      </c>
      <c r="I197">
        <v>3311</v>
      </c>
      <c r="J197" t="str">
        <f>VLOOKUP(E197,diagnoses!A$2:B$11,2,FALSE)</f>
        <v>Liver Disease</v>
      </c>
      <c r="K197" t="str">
        <f>VLOOKUP(H197,outcomes!A$2:B$4,2,0)</f>
        <v>Deceased</v>
      </c>
      <c r="L197">
        <f>DATEDIF(F197,G197,"D")</f>
        <v>4</v>
      </c>
      <c r="M197" t="str">
        <f>IF(labs!C197="Blood Sugar",IF(labs!D197&gt;120,"High","Low"),"No Blood Sugar")</f>
        <v>No Blood Sugar</v>
      </c>
      <c r="N197" t="str">
        <f>IF(OR(C197&gt;65,H197&gt;1),"High Risk","Low Risk")</f>
        <v>High Risk</v>
      </c>
    </row>
    <row r="198" spans="1:14">
      <c r="A198">
        <v>197</v>
      </c>
      <c r="B198" t="s">
        <v>212</v>
      </c>
      <c r="C198">
        <v>58</v>
      </c>
      <c r="D198" t="s">
        <v>15</v>
      </c>
      <c r="E198">
        <v>2</v>
      </c>
      <c r="F198" s="1">
        <v>45722</v>
      </c>
      <c r="G198" s="1">
        <v>45846</v>
      </c>
      <c r="H198">
        <v>3</v>
      </c>
      <c r="I198">
        <v>5191</v>
      </c>
      <c r="J198" t="str">
        <f>VLOOKUP(E198,diagnoses!A$2:B$11,2,FALSE)</f>
        <v>Diabetes</v>
      </c>
      <c r="K198" t="str">
        <f>VLOOKUP(H198,outcomes!A$2:B$4,2,0)</f>
        <v>Deceased</v>
      </c>
      <c r="L198">
        <f>DATEDIF(F198,G198,"D")</f>
        <v>124</v>
      </c>
      <c r="M198" t="str">
        <f>IF(labs!C198="Blood Sugar",IF(labs!D198&gt;120,"High","Low"),"No Blood Sugar")</f>
        <v>No Blood Sugar</v>
      </c>
      <c r="N198" t="str">
        <f>IF(OR(C198&gt;65,H198&gt;1),"High Risk","Low Risk")</f>
        <v>High Risk</v>
      </c>
    </row>
    <row r="199" spans="1:14">
      <c r="A199">
        <v>198</v>
      </c>
      <c r="B199" t="s">
        <v>213</v>
      </c>
      <c r="C199">
        <v>65</v>
      </c>
      <c r="D199" t="s">
        <v>15</v>
      </c>
      <c r="E199">
        <v>3</v>
      </c>
      <c r="F199" s="1">
        <v>45803</v>
      </c>
      <c r="G199" s="1">
        <v>45812</v>
      </c>
      <c r="H199">
        <v>2</v>
      </c>
      <c r="I199">
        <v>8957</v>
      </c>
      <c r="J199" t="str">
        <f>VLOOKUP(E199,diagnoses!A$2:B$11,2,FALSE)</f>
        <v>Heart Disease</v>
      </c>
      <c r="K199" t="str">
        <f>VLOOKUP(H199,outcomes!A$2:B$4,2,0)</f>
        <v>Complicated</v>
      </c>
      <c r="L199">
        <f>DATEDIF(F199,G199,"D")</f>
        <v>9</v>
      </c>
      <c r="M199" t="str">
        <f>IF(labs!C199="Blood Sugar",IF(labs!D199&gt;120,"High","Low"),"No Blood Sugar")</f>
        <v>No Blood Sugar</v>
      </c>
      <c r="N199" t="str">
        <f>IF(OR(C199&gt;65,H199&gt;1),"High Risk","Low Risk")</f>
        <v>High Risk</v>
      </c>
    </row>
    <row r="200" spans="1:14">
      <c r="A200">
        <v>199</v>
      </c>
      <c r="B200" t="s">
        <v>214</v>
      </c>
      <c r="C200">
        <v>42</v>
      </c>
      <c r="D200" t="s">
        <v>19</v>
      </c>
      <c r="E200">
        <v>2</v>
      </c>
      <c r="F200" s="1">
        <v>45834</v>
      </c>
      <c r="G200" s="1">
        <v>45843</v>
      </c>
      <c r="H200">
        <v>2</v>
      </c>
      <c r="I200">
        <v>4538</v>
      </c>
      <c r="J200" t="str">
        <f>VLOOKUP(E200,diagnoses!A$2:B$11,2,FALSE)</f>
        <v>Diabetes</v>
      </c>
      <c r="K200" t="str">
        <f>VLOOKUP(H200,outcomes!A$2:B$4,2,0)</f>
        <v>Complicated</v>
      </c>
      <c r="L200">
        <f>DATEDIF(F200,G200,"D")</f>
        <v>9</v>
      </c>
      <c r="M200" t="str">
        <f>IF(labs!C200="Blood Sugar",IF(labs!D200&gt;120,"High","Low"),"No Blood Sugar")</f>
        <v>No Blood Sugar</v>
      </c>
      <c r="N200" t="str">
        <f>IF(OR(C200&gt;65,H200&gt;1),"High Risk","Low Risk")</f>
        <v>High Risk</v>
      </c>
    </row>
    <row r="201" spans="1:14">
      <c r="A201">
        <v>200</v>
      </c>
      <c r="B201" t="s">
        <v>215</v>
      </c>
      <c r="C201">
        <v>61</v>
      </c>
      <c r="D201" t="s">
        <v>19</v>
      </c>
      <c r="E201">
        <v>3</v>
      </c>
      <c r="F201" s="1">
        <v>45668</v>
      </c>
      <c r="G201" s="1">
        <v>45725</v>
      </c>
      <c r="H201">
        <v>3</v>
      </c>
      <c r="I201">
        <v>5983</v>
      </c>
      <c r="J201" t="str">
        <f>VLOOKUP(E201,diagnoses!A$2:B$11,2,FALSE)</f>
        <v>Heart Disease</v>
      </c>
      <c r="K201" t="str">
        <f>VLOOKUP(H201,outcomes!A$2:B$4,2,0)</f>
        <v>Deceased</v>
      </c>
      <c r="L201">
        <f>DATEDIF(F201,G201,"D")</f>
        <v>57</v>
      </c>
      <c r="M201" t="str">
        <f>IF(labs!C201="Blood Sugar",IF(labs!D201&gt;120,"High","Low"),"No Blood Sugar")</f>
        <v>No Blood Sugar</v>
      </c>
      <c r="N201" t="str">
        <f>IF(OR(C201&gt;65,H201&gt;1),"High Risk","Low Risk")</f>
        <v>High Risk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1"/>
  <sheetViews>
    <sheetView workbookViewId="0">
      <selection activeCell="B1" sqref="B1"/>
    </sheetView>
  </sheetViews>
  <sheetFormatPr defaultColWidth="8.88888888888889" defaultRowHeight="14.4" outlineLevelCol="4"/>
  <cols>
    <col min="3" max="3" width="14.2222222222222" customWidth="1"/>
  </cols>
  <sheetData>
    <row r="1" spans="1:5">
      <c r="A1" t="s">
        <v>216</v>
      </c>
      <c r="B1" t="s">
        <v>0</v>
      </c>
      <c r="C1" t="s">
        <v>217</v>
      </c>
      <c r="D1" t="s">
        <v>218</v>
      </c>
      <c r="E1" t="s">
        <v>219</v>
      </c>
    </row>
    <row r="2" spans="1:5">
      <c r="A2">
        <v>1</v>
      </c>
      <c r="B2">
        <v>196</v>
      </c>
      <c r="C2" t="s">
        <v>220</v>
      </c>
      <c r="D2">
        <v>89.7</v>
      </c>
      <c r="E2" t="s">
        <v>221</v>
      </c>
    </row>
    <row r="3" spans="1:5">
      <c r="A3">
        <v>2</v>
      </c>
      <c r="B3">
        <v>165</v>
      </c>
      <c r="C3" t="s">
        <v>222</v>
      </c>
      <c r="D3">
        <v>270.2</v>
      </c>
      <c r="E3" t="s">
        <v>223</v>
      </c>
    </row>
    <row r="4" spans="1:5">
      <c r="A4">
        <v>3</v>
      </c>
      <c r="B4">
        <v>182</v>
      </c>
      <c r="C4" t="s">
        <v>220</v>
      </c>
      <c r="D4">
        <v>268</v>
      </c>
      <c r="E4" t="s">
        <v>224</v>
      </c>
    </row>
    <row r="5" spans="1:5">
      <c r="A5">
        <v>4</v>
      </c>
      <c r="B5">
        <v>142</v>
      </c>
      <c r="C5" t="s">
        <v>222</v>
      </c>
      <c r="D5">
        <v>57.3</v>
      </c>
      <c r="E5" t="s">
        <v>221</v>
      </c>
    </row>
    <row r="6" spans="1:5">
      <c r="A6">
        <v>5</v>
      </c>
      <c r="B6">
        <v>55</v>
      </c>
      <c r="C6" t="s">
        <v>225</v>
      </c>
      <c r="D6">
        <v>256.5</v>
      </c>
      <c r="E6" t="s">
        <v>226</v>
      </c>
    </row>
    <row r="7" spans="1:5">
      <c r="A7">
        <v>6</v>
      </c>
      <c r="B7">
        <v>176</v>
      </c>
      <c r="C7" t="s">
        <v>227</v>
      </c>
      <c r="D7">
        <v>82.2</v>
      </c>
      <c r="E7" t="s">
        <v>226</v>
      </c>
    </row>
    <row r="8" spans="1:5">
      <c r="A8">
        <v>7</v>
      </c>
      <c r="B8">
        <v>7</v>
      </c>
      <c r="C8" t="s">
        <v>220</v>
      </c>
      <c r="D8">
        <v>133.8</v>
      </c>
      <c r="E8" t="s">
        <v>221</v>
      </c>
    </row>
    <row r="9" spans="1:5">
      <c r="A9">
        <v>8</v>
      </c>
      <c r="B9">
        <v>74</v>
      </c>
      <c r="C9" t="s">
        <v>228</v>
      </c>
      <c r="D9">
        <v>235.9</v>
      </c>
      <c r="E9" t="s">
        <v>224</v>
      </c>
    </row>
    <row r="10" spans="1:5">
      <c r="A10">
        <v>9</v>
      </c>
      <c r="B10">
        <v>7</v>
      </c>
      <c r="C10" t="s">
        <v>228</v>
      </c>
      <c r="D10">
        <v>90.2</v>
      </c>
      <c r="E10" t="s">
        <v>229</v>
      </c>
    </row>
    <row r="11" spans="1:5">
      <c r="A11">
        <v>10</v>
      </c>
      <c r="B11">
        <v>161</v>
      </c>
      <c r="C11" t="s">
        <v>230</v>
      </c>
      <c r="D11">
        <v>254.5</v>
      </c>
      <c r="E11" t="s">
        <v>223</v>
      </c>
    </row>
    <row r="12" spans="1:5">
      <c r="A12">
        <v>11</v>
      </c>
      <c r="B12">
        <v>151</v>
      </c>
      <c r="C12" t="s">
        <v>222</v>
      </c>
      <c r="D12">
        <v>258</v>
      </c>
      <c r="E12" t="s">
        <v>226</v>
      </c>
    </row>
    <row r="13" spans="1:5">
      <c r="A13">
        <v>12</v>
      </c>
      <c r="B13">
        <v>85</v>
      </c>
      <c r="C13" t="s">
        <v>220</v>
      </c>
      <c r="D13">
        <v>176.9</v>
      </c>
      <c r="E13" t="s">
        <v>229</v>
      </c>
    </row>
    <row r="14" spans="1:5">
      <c r="A14">
        <v>13</v>
      </c>
      <c r="B14">
        <v>147</v>
      </c>
      <c r="C14" t="s">
        <v>230</v>
      </c>
      <c r="D14">
        <v>51.6</v>
      </c>
      <c r="E14" t="s">
        <v>221</v>
      </c>
    </row>
    <row r="15" spans="1:5">
      <c r="A15">
        <v>14</v>
      </c>
      <c r="B15">
        <v>112</v>
      </c>
      <c r="C15" t="s">
        <v>220</v>
      </c>
      <c r="D15">
        <v>121.8</v>
      </c>
      <c r="E15" t="s">
        <v>229</v>
      </c>
    </row>
    <row r="16" spans="1:5">
      <c r="A16">
        <v>15</v>
      </c>
      <c r="B16">
        <v>125</v>
      </c>
      <c r="C16" t="s">
        <v>222</v>
      </c>
      <c r="D16">
        <v>204.2</v>
      </c>
      <c r="E16" t="s">
        <v>231</v>
      </c>
    </row>
    <row r="17" spans="1:5">
      <c r="A17">
        <v>16</v>
      </c>
      <c r="B17">
        <v>147</v>
      </c>
      <c r="C17" t="s">
        <v>228</v>
      </c>
      <c r="D17">
        <v>295.3</v>
      </c>
      <c r="E17" t="s">
        <v>226</v>
      </c>
    </row>
    <row r="18" spans="1:5">
      <c r="A18">
        <v>17</v>
      </c>
      <c r="B18">
        <v>36</v>
      </c>
      <c r="C18" t="s">
        <v>225</v>
      </c>
      <c r="D18">
        <v>208</v>
      </c>
      <c r="E18" t="s">
        <v>221</v>
      </c>
    </row>
    <row r="19" spans="1:5">
      <c r="A19">
        <v>18</v>
      </c>
      <c r="B19">
        <v>29</v>
      </c>
      <c r="C19" t="s">
        <v>228</v>
      </c>
      <c r="D19">
        <v>115</v>
      </c>
      <c r="E19" t="s">
        <v>223</v>
      </c>
    </row>
    <row r="20" spans="1:5">
      <c r="A20">
        <v>19</v>
      </c>
      <c r="B20">
        <v>188</v>
      </c>
      <c r="C20" t="s">
        <v>230</v>
      </c>
      <c r="D20">
        <v>208.5</v>
      </c>
      <c r="E20" t="s">
        <v>224</v>
      </c>
    </row>
    <row r="21" spans="1:5">
      <c r="A21">
        <v>20</v>
      </c>
      <c r="B21">
        <v>82</v>
      </c>
      <c r="C21" t="s">
        <v>227</v>
      </c>
      <c r="D21">
        <v>185</v>
      </c>
      <c r="E21" t="s">
        <v>221</v>
      </c>
    </row>
    <row r="22" spans="1:5">
      <c r="A22">
        <v>21</v>
      </c>
      <c r="B22">
        <v>2</v>
      </c>
      <c r="C22" t="s">
        <v>225</v>
      </c>
      <c r="D22">
        <v>245</v>
      </c>
      <c r="E22" t="s">
        <v>223</v>
      </c>
    </row>
    <row r="23" spans="1:5">
      <c r="A23">
        <v>22</v>
      </c>
      <c r="B23">
        <v>129</v>
      </c>
      <c r="C23" t="s">
        <v>230</v>
      </c>
      <c r="D23">
        <v>76.7</v>
      </c>
      <c r="E23" t="s">
        <v>224</v>
      </c>
    </row>
    <row r="24" spans="1:5">
      <c r="A24">
        <v>23</v>
      </c>
      <c r="B24">
        <v>47</v>
      </c>
      <c r="C24" t="s">
        <v>222</v>
      </c>
      <c r="D24">
        <v>240.3</v>
      </c>
      <c r="E24" t="s">
        <v>224</v>
      </c>
    </row>
    <row r="25" spans="1:5">
      <c r="A25">
        <v>24</v>
      </c>
      <c r="B25">
        <v>197</v>
      </c>
      <c r="C25" t="s">
        <v>225</v>
      </c>
      <c r="D25">
        <v>185.3</v>
      </c>
      <c r="E25" t="s">
        <v>221</v>
      </c>
    </row>
    <row r="26" spans="1:5">
      <c r="A26">
        <v>25</v>
      </c>
      <c r="B26">
        <v>148</v>
      </c>
      <c r="C26" t="s">
        <v>230</v>
      </c>
      <c r="D26">
        <v>290.7</v>
      </c>
      <c r="E26" t="s">
        <v>229</v>
      </c>
    </row>
    <row r="27" spans="1:5">
      <c r="A27">
        <v>26</v>
      </c>
      <c r="B27">
        <v>11</v>
      </c>
      <c r="C27" t="s">
        <v>222</v>
      </c>
      <c r="D27">
        <v>135.5</v>
      </c>
      <c r="E27" t="s">
        <v>229</v>
      </c>
    </row>
    <row r="28" spans="1:5">
      <c r="A28">
        <v>27</v>
      </c>
      <c r="B28">
        <v>130</v>
      </c>
      <c r="C28" t="s">
        <v>228</v>
      </c>
      <c r="D28">
        <v>208.2</v>
      </c>
      <c r="E28" t="s">
        <v>224</v>
      </c>
    </row>
    <row r="29" spans="1:5">
      <c r="A29">
        <v>28</v>
      </c>
      <c r="B29">
        <v>195</v>
      </c>
      <c r="C29" t="s">
        <v>227</v>
      </c>
      <c r="D29">
        <v>283</v>
      </c>
      <c r="E29" t="s">
        <v>229</v>
      </c>
    </row>
    <row r="30" spans="1:5">
      <c r="A30">
        <v>29</v>
      </c>
      <c r="B30">
        <v>119</v>
      </c>
      <c r="C30" t="s">
        <v>222</v>
      </c>
      <c r="D30">
        <v>75.6</v>
      </c>
      <c r="E30" t="s">
        <v>231</v>
      </c>
    </row>
    <row r="31" spans="1:5">
      <c r="A31">
        <v>30</v>
      </c>
      <c r="B31">
        <v>140</v>
      </c>
      <c r="C31" t="s">
        <v>220</v>
      </c>
      <c r="D31">
        <v>284.3</v>
      </c>
      <c r="E31" t="s">
        <v>224</v>
      </c>
    </row>
    <row r="32" spans="1:5">
      <c r="A32">
        <v>31</v>
      </c>
      <c r="B32">
        <v>20</v>
      </c>
      <c r="C32" t="s">
        <v>222</v>
      </c>
      <c r="D32">
        <v>222</v>
      </c>
      <c r="E32" t="s">
        <v>224</v>
      </c>
    </row>
    <row r="33" spans="1:5">
      <c r="A33">
        <v>32</v>
      </c>
      <c r="B33">
        <v>5</v>
      </c>
      <c r="C33" t="s">
        <v>222</v>
      </c>
      <c r="D33">
        <v>67</v>
      </c>
      <c r="E33" t="s">
        <v>223</v>
      </c>
    </row>
    <row r="34" spans="1:5">
      <c r="A34">
        <v>33</v>
      </c>
      <c r="B34">
        <v>37</v>
      </c>
      <c r="C34" t="s">
        <v>227</v>
      </c>
      <c r="D34">
        <v>125.2</v>
      </c>
      <c r="E34" t="s">
        <v>229</v>
      </c>
    </row>
    <row r="35" spans="1:5">
      <c r="A35">
        <v>34</v>
      </c>
      <c r="B35">
        <v>166</v>
      </c>
      <c r="C35" t="s">
        <v>220</v>
      </c>
      <c r="D35">
        <v>227</v>
      </c>
      <c r="E35" t="s">
        <v>224</v>
      </c>
    </row>
    <row r="36" spans="1:5">
      <c r="A36">
        <v>35</v>
      </c>
      <c r="B36">
        <v>137</v>
      </c>
      <c r="C36" t="s">
        <v>230</v>
      </c>
      <c r="D36">
        <v>66.8</v>
      </c>
      <c r="E36" t="s">
        <v>231</v>
      </c>
    </row>
    <row r="37" spans="1:5">
      <c r="A37">
        <v>36</v>
      </c>
      <c r="B37">
        <v>53</v>
      </c>
      <c r="C37" t="s">
        <v>230</v>
      </c>
      <c r="D37">
        <v>195.5</v>
      </c>
      <c r="E37" t="s">
        <v>223</v>
      </c>
    </row>
    <row r="38" spans="1:5">
      <c r="A38">
        <v>37</v>
      </c>
      <c r="B38">
        <v>172</v>
      </c>
      <c r="C38" t="s">
        <v>222</v>
      </c>
      <c r="D38">
        <v>136.5</v>
      </c>
      <c r="E38" t="s">
        <v>221</v>
      </c>
    </row>
    <row r="39" spans="1:5">
      <c r="A39">
        <v>38</v>
      </c>
      <c r="B39">
        <v>99</v>
      </c>
      <c r="C39" t="s">
        <v>220</v>
      </c>
      <c r="D39">
        <v>205.2</v>
      </c>
      <c r="E39" t="s">
        <v>224</v>
      </c>
    </row>
    <row r="40" spans="1:5">
      <c r="A40">
        <v>39</v>
      </c>
      <c r="B40">
        <v>86</v>
      </c>
      <c r="C40" t="s">
        <v>220</v>
      </c>
      <c r="D40">
        <v>61.4</v>
      </c>
      <c r="E40" t="s">
        <v>231</v>
      </c>
    </row>
    <row r="41" spans="1:5">
      <c r="A41">
        <v>40</v>
      </c>
      <c r="B41">
        <v>108</v>
      </c>
      <c r="C41" t="s">
        <v>227</v>
      </c>
      <c r="D41">
        <v>267.9</v>
      </c>
      <c r="E41" t="s">
        <v>226</v>
      </c>
    </row>
    <row r="42" spans="1:5">
      <c r="A42">
        <v>41</v>
      </c>
      <c r="B42">
        <v>24</v>
      </c>
      <c r="C42" t="s">
        <v>228</v>
      </c>
      <c r="D42">
        <v>293.4</v>
      </c>
      <c r="E42" t="s">
        <v>231</v>
      </c>
    </row>
    <row r="43" spans="1:5">
      <c r="A43">
        <v>42</v>
      </c>
      <c r="B43">
        <v>81</v>
      </c>
      <c r="C43" t="s">
        <v>230</v>
      </c>
      <c r="D43">
        <v>292.2</v>
      </c>
      <c r="E43" t="s">
        <v>231</v>
      </c>
    </row>
    <row r="44" spans="1:5">
      <c r="A44">
        <v>43</v>
      </c>
      <c r="B44">
        <v>158</v>
      </c>
      <c r="C44" t="s">
        <v>227</v>
      </c>
      <c r="D44">
        <v>237.4</v>
      </c>
      <c r="E44" t="s">
        <v>223</v>
      </c>
    </row>
    <row r="45" spans="1:5">
      <c r="A45">
        <v>44</v>
      </c>
      <c r="B45">
        <v>120</v>
      </c>
      <c r="C45" t="s">
        <v>225</v>
      </c>
      <c r="D45">
        <v>82.5</v>
      </c>
      <c r="E45" t="s">
        <v>221</v>
      </c>
    </row>
    <row r="46" spans="1:5">
      <c r="A46">
        <v>45</v>
      </c>
      <c r="B46">
        <v>59</v>
      </c>
      <c r="C46" t="s">
        <v>230</v>
      </c>
      <c r="D46">
        <v>239.6</v>
      </c>
      <c r="E46" t="s">
        <v>226</v>
      </c>
    </row>
    <row r="47" spans="1:5">
      <c r="A47">
        <v>46</v>
      </c>
      <c r="B47">
        <v>128</v>
      </c>
      <c r="C47" t="s">
        <v>227</v>
      </c>
      <c r="D47">
        <v>56.1</v>
      </c>
      <c r="E47" t="s">
        <v>229</v>
      </c>
    </row>
    <row r="48" spans="1:5">
      <c r="A48">
        <v>47</v>
      </c>
      <c r="B48">
        <v>114</v>
      </c>
      <c r="C48" t="s">
        <v>230</v>
      </c>
      <c r="D48">
        <v>55.5</v>
      </c>
      <c r="E48" t="s">
        <v>229</v>
      </c>
    </row>
    <row r="49" spans="1:5">
      <c r="A49">
        <v>48</v>
      </c>
      <c r="B49">
        <v>115</v>
      </c>
      <c r="C49" t="s">
        <v>228</v>
      </c>
      <c r="D49">
        <v>130.9</v>
      </c>
      <c r="E49" t="s">
        <v>231</v>
      </c>
    </row>
    <row r="50" spans="1:5">
      <c r="A50">
        <v>49</v>
      </c>
      <c r="B50">
        <v>14</v>
      </c>
      <c r="C50" t="s">
        <v>225</v>
      </c>
      <c r="D50">
        <v>172.2</v>
      </c>
      <c r="E50" t="s">
        <v>223</v>
      </c>
    </row>
    <row r="51" spans="1:5">
      <c r="A51">
        <v>50</v>
      </c>
      <c r="B51">
        <v>9</v>
      </c>
      <c r="C51" t="s">
        <v>228</v>
      </c>
      <c r="D51">
        <v>242.6</v>
      </c>
      <c r="E51" t="s">
        <v>223</v>
      </c>
    </row>
    <row r="52" spans="1:5">
      <c r="A52">
        <v>51</v>
      </c>
      <c r="B52">
        <v>40</v>
      </c>
      <c r="C52" t="s">
        <v>225</v>
      </c>
      <c r="D52">
        <v>220.8</v>
      </c>
      <c r="E52" t="s">
        <v>229</v>
      </c>
    </row>
    <row r="53" spans="1:5">
      <c r="A53">
        <v>52</v>
      </c>
      <c r="B53">
        <v>194</v>
      </c>
      <c r="C53" t="s">
        <v>222</v>
      </c>
      <c r="D53">
        <v>161.5</v>
      </c>
      <c r="E53" t="s">
        <v>226</v>
      </c>
    </row>
    <row r="54" spans="1:5">
      <c r="A54">
        <v>53</v>
      </c>
      <c r="B54">
        <v>25</v>
      </c>
      <c r="C54" t="s">
        <v>227</v>
      </c>
      <c r="D54">
        <v>118.4</v>
      </c>
      <c r="E54" t="s">
        <v>221</v>
      </c>
    </row>
    <row r="55" spans="1:5">
      <c r="A55">
        <v>54</v>
      </c>
      <c r="B55">
        <v>103</v>
      </c>
      <c r="C55" t="s">
        <v>225</v>
      </c>
      <c r="D55">
        <v>299.3</v>
      </c>
      <c r="E55" t="s">
        <v>226</v>
      </c>
    </row>
    <row r="56" spans="1:5">
      <c r="A56">
        <v>55</v>
      </c>
      <c r="B56">
        <v>22</v>
      </c>
      <c r="C56" t="s">
        <v>228</v>
      </c>
      <c r="D56">
        <v>156.5</v>
      </c>
      <c r="E56" t="s">
        <v>224</v>
      </c>
    </row>
    <row r="57" spans="1:5">
      <c r="A57">
        <v>56</v>
      </c>
      <c r="B57">
        <v>4</v>
      </c>
      <c r="C57" t="s">
        <v>230</v>
      </c>
      <c r="D57">
        <v>162.8</v>
      </c>
      <c r="E57" t="s">
        <v>224</v>
      </c>
    </row>
    <row r="58" spans="1:5">
      <c r="A58">
        <v>57</v>
      </c>
      <c r="B58">
        <v>154</v>
      </c>
      <c r="C58" t="s">
        <v>225</v>
      </c>
      <c r="D58">
        <v>90.9</v>
      </c>
      <c r="E58" t="s">
        <v>221</v>
      </c>
    </row>
    <row r="59" spans="1:5">
      <c r="A59">
        <v>58</v>
      </c>
      <c r="B59">
        <v>186</v>
      </c>
      <c r="C59" t="s">
        <v>227</v>
      </c>
      <c r="D59">
        <v>248.7</v>
      </c>
      <c r="E59" t="s">
        <v>229</v>
      </c>
    </row>
    <row r="60" spans="1:5">
      <c r="A60">
        <v>59</v>
      </c>
      <c r="B60">
        <v>29</v>
      </c>
      <c r="C60" t="s">
        <v>225</v>
      </c>
      <c r="D60">
        <v>223.4</v>
      </c>
      <c r="E60" t="s">
        <v>221</v>
      </c>
    </row>
    <row r="61" spans="1:5">
      <c r="A61">
        <v>60</v>
      </c>
      <c r="B61">
        <v>109</v>
      </c>
      <c r="C61" t="s">
        <v>220</v>
      </c>
      <c r="D61">
        <v>105.2</v>
      </c>
      <c r="E61" t="s">
        <v>223</v>
      </c>
    </row>
    <row r="62" spans="1:5">
      <c r="A62">
        <v>61</v>
      </c>
      <c r="B62">
        <v>98</v>
      </c>
      <c r="C62" t="s">
        <v>230</v>
      </c>
      <c r="D62">
        <v>70.6</v>
      </c>
      <c r="E62" t="s">
        <v>224</v>
      </c>
    </row>
    <row r="63" spans="1:5">
      <c r="A63">
        <v>62</v>
      </c>
      <c r="B63">
        <v>37</v>
      </c>
      <c r="C63" t="s">
        <v>227</v>
      </c>
      <c r="D63">
        <v>220.1</v>
      </c>
      <c r="E63" t="s">
        <v>231</v>
      </c>
    </row>
    <row r="64" spans="1:5">
      <c r="A64">
        <v>63</v>
      </c>
      <c r="B64">
        <v>75</v>
      </c>
      <c r="C64" t="s">
        <v>227</v>
      </c>
      <c r="D64">
        <v>213.6</v>
      </c>
      <c r="E64" t="s">
        <v>231</v>
      </c>
    </row>
    <row r="65" spans="1:5">
      <c r="A65">
        <v>64</v>
      </c>
      <c r="B65">
        <v>70</v>
      </c>
      <c r="C65" t="s">
        <v>222</v>
      </c>
      <c r="D65">
        <v>118.3</v>
      </c>
      <c r="E65" t="s">
        <v>229</v>
      </c>
    </row>
    <row r="66" spans="1:5">
      <c r="A66">
        <v>65</v>
      </c>
      <c r="B66">
        <v>146</v>
      </c>
      <c r="C66" t="s">
        <v>228</v>
      </c>
      <c r="D66">
        <v>287.7</v>
      </c>
      <c r="E66" t="s">
        <v>223</v>
      </c>
    </row>
    <row r="67" spans="1:5">
      <c r="A67">
        <v>66</v>
      </c>
      <c r="B67">
        <v>128</v>
      </c>
      <c r="C67" t="s">
        <v>222</v>
      </c>
      <c r="D67">
        <v>87.8</v>
      </c>
      <c r="E67" t="s">
        <v>226</v>
      </c>
    </row>
    <row r="68" spans="1:5">
      <c r="A68">
        <v>67</v>
      </c>
      <c r="B68">
        <v>85</v>
      </c>
      <c r="C68" t="s">
        <v>227</v>
      </c>
      <c r="D68">
        <v>158.1</v>
      </c>
      <c r="E68" t="s">
        <v>223</v>
      </c>
    </row>
    <row r="69" spans="1:5">
      <c r="A69">
        <v>68</v>
      </c>
      <c r="B69">
        <v>42</v>
      </c>
      <c r="C69" t="s">
        <v>230</v>
      </c>
      <c r="D69">
        <v>285.9</v>
      </c>
      <c r="E69" t="s">
        <v>231</v>
      </c>
    </row>
    <row r="70" spans="1:5">
      <c r="A70">
        <v>69</v>
      </c>
      <c r="B70">
        <v>100</v>
      </c>
      <c r="C70" t="s">
        <v>225</v>
      </c>
      <c r="D70">
        <v>154.9</v>
      </c>
      <c r="E70" t="s">
        <v>231</v>
      </c>
    </row>
    <row r="71" spans="1:5">
      <c r="A71">
        <v>70</v>
      </c>
      <c r="B71">
        <v>41</v>
      </c>
      <c r="C71" t="s">
        <v>225</v>
      </c>
      <c r="D71">
        <v>209.6</v>
      </c>
      <c r="E71" t="s">
        <v>224</v>
      </c>
    </row>
    <row r="72" spans="1:5">
      <c r="A72">
        <v>71</v>
      </c>
      <c r="B72">
        <v>166</v>
      </c>
      <c r="C72" t="s">
        <v>230</v>
      </c>
      <c r="D72">
        <v>149.4</v>
      </c>
      <c r="E72" t="s">
        <v>223</v>
      </c>
    </row>
    <row r="73" spans="1:5">
      <c r="A73">
        <v>72</v>
      </c>
      <c r="B73">
        <v>34</v>
      </c>
      <c r="C73" t="s">
        <v>227</v>
      </c>
      <c r="D73">
        <v>118.6</v>
      </c>
      <c r="E73" t="s">
        <v>223</v>
      </c>
    </row>
    <row r="74" spans="1:5">
      <c r="A74">
        <v>73</v>
      </c>
      <c r="B74">
        <v>17</v>
      </c>
      <c r="C74" t="s">
        <v>225</v>
      </c>
      <c r="D74">
        <v>296</v>
      </c>
      <c r="E74" t="s">
        <v>231</v>
      </c>
    </row>
    <row r="75" spans="1:5">
      <c r="A75">
        <v>74</v>
      </c>
      <c r="B75">
        <v>165</v>
      </c>
      <c r="C75" t="s">
        <v>225</v>
      </c>
      <c r="D75">
        <v>152.3</v>
      </c>
      <c r="E75" t="s">
        <v>226</v>
      </c>
    </row>
    <row r="76" spans="1:5">
      <c r="A76">
        <v>75</v>
      </c>
      <c r="B76">
        <v>153</v>
      </c>
      <c r="C76" t="s">
        <v>225</v>
      </c>
      <c r="D76">
        <v>273.5</v>
      </c>
      <c r="E76" t="s">
        <v>229</v>
      </c>
    </row>
    <row r="77" spans="1:5">
      <c r="A77">
        <v>76</v>
      </c>
      <c r="B77">
        <v>122</v>
      </c>
      <c r="C77" t="s">
        <v>228</v>
      </c>
      <c r="D77">
        <v>107.5</v>
      </c>
      <c r="E77" t="s">
        <v>229</v>
      </c>
    </row>
    <row r="78" spans="1:5">
      <c r="A78">
        <v>77</v>
      </c>
      <c r="B78">
        <v>76</v>
      </c>
      <c r="C78" t="s">
        <v>228</v>
      </c>
      <c r="D78">
        <v>103.3</v>
      </c>
      <c r="E78" t="s">
        <v>223</v>
      </c>
    </row>
    <row r="79" spans="1:5">
      <c r="A79">
        <v>78</v>
      </c>
      <c r="B79">
        <v>87</v>
      </c>
      <c r="C79" t="s">
        <v>220</v>
      </c>
      <c r="D79">
        <v>57.8</v>
      </c>
      <c r="E79" t="s">
        <v>229</v>
      </c>
    </row>
    <row r="80" spans="1:5">
      <c r="A80">
        <v>79</v>
      </c>
      <c r="B80">
        <v>117</v>
      </c>
      <c r="C80" t="s">
        <v>222</v>
      </c>
      <c r="D80">
        <v>212.9</v>
      </c>
      <c r="E80" t="s">
        <v>231</v>
      </c>
    </row>
    <row r="81" spans="1:5">
      <c r="A81">
        <v>80</v>
      </c>
      <c r="B81">
        <v>106</v>
      </c>
      <c r="C81" t="s">
        <v>230</v>
      </c>
      <c r="D81">
        <v>142.1</v>
      </c>
      <c r="E81" t="s">
        <v>231</v>
      </c>
    </row>
    <row r="82" spans="1:5">
      <c r="A82">
        <v>81</v>
      </c>
      <c r="B82">
        <v>86</v>
      </c>
      <c r="C82" t="s">
        <v>230</v>
      </c>
      <c r="D82">
        <v>266.1</v>
      </c>
      <c r="E82" t="s">
        <v>223</v>
      </c>
    </row>
    <row r="83" spans="1:5">
      <c r="A83">
        <v>82</v>
      </c>
      <c r="B83">
        <v>27</v>
      </c>
      <c r="C83" t="s">
        <v>230</v>
      </c>
      <c r="D83">
        <v>168.3</v>
      </c>
      <c r="E83" t="s">
        <v>223</v>
      </c>
    </row>
    <row r="84" spans="1:5">
      <c r="A84">
        <v>83</v>
      </c>
      <c r="B84">
        <v>57</v>
      </c>
      <c r="C84" t="s">
        <v>220</v>
      </c>
      <c r="D84">
        <v>292</v>
      </c>
      <c r="E84" t="s">
        <v>224</v>
      </c>
    </row>
    <row r="85" spans="1:5">
      <c r="A85">
        <v>84</v>
      </c>
      <c r="B85">
        <v>31</v>
      </c>
      <c r="C85" t="s">
        <v>228</v>
      </c>
      <c r="D85">
        <v>96.4</v>
      </c>
      <c r="E85" t="s">
        <v>223</v>
      </c>
    </row>
    <row r="86" spans="1:5">
      <c r="A86">
        <v>85</v>
      </c>
      <c r="B86">
        <v>134</v>
      </c>
      <c r="C86" t="s">
        <v>227</v>
      </c>
      <c r="D86">
        <v>267.2</v>
      </c>
      <c r="E86" t="s">
        <v>226</v>
      </c>
    </row>
    <row r="87" spans="1:5">
      <c r="A87">
        <v>86</v>
      </c>
      <c r="B87">
        <v>168</v>
      </c>
      <c r="C87" t="s">
        <v>227</v>
      </c>
      <c r="D87">
        <v>244.1</v>
      </c>
      <c r="E87" t="s">
        <v>229</v>
      </c>
    </row>
    <row r="88" spans="1:5">
      <c r="A88">
        <v>87</v>
      </c>
      <c r="B88">
        <v>98</v>
      </c>
      <c r="C88" t="s">
        <v>220</v>
      </c>
      <c r="D88">
        <v>242.7</v>
      </c>
      <c r="E88" t="s">
        <v>223</v>
      </c>
    </row>
    <row r="89" spans="1:5">
      <c r="A89">
        <v>88</v>
      </c>
      <c r="B89">
        <v>12</v>
      </c>
      <c r="C89" t="s">
        <v>227</v>
      </c>
      <c r="D89">
        <v>261.2</v>
      </c>
      <c r="E89" t="s">
        <v>221</v>
      </c>
    </row>
    <row r="90" spans="1:5">
      <c r="A90">
        <v>89</v>
      </c>
      <c r="B90">
        <v>53</v>
      </c>
      <c r="C90" t="s">
        <v>230</v>
      </c>
      <c r="D90">
        <v>240.3</v>
      </c>
      <c r="E90" t="s">
        <v>224</v>
      </c>
    </row>
    <row r="91" spans="1:5">
      <c r="A91">
        <v>90</v>
      </c>
      <c r="B91">
        <v>199</v>
      </c>
      <c r="C91" t="s">
        <v>222</v>
      </c>
      <c r="D91">
        <v>206.6</v>
      </c>
      <c r="E91" t="s">
        <v>221</v>
      </c>
    </row>
    <row r="92" spans="1:5">
      <c r="A92">
        <v>91</v>
      </c>
      <c r="B92">
        <v>138</v>
      </c>
      <c r="C92" t="s">
        <v>225</v>
      </c>
      <c r="D92">
        <v>82.8</v>
      </c>
      <c r="E92" t="s">
        <v>231</v>
      </c>
    </row>
    <row r="93" spans="1:5">
      <c r="A93">
        <v>92</v>
      </c>
      <c r="B93">
        <v>173</v>
      </c>
      <c r="C93" t="s">
        <v>228</v>
      </c>
      <c r="D93">
        <v>58.1</v>
      </c>
      <c r="E93" t="s">
        <v>229</v>
      </c>
    </row>
    <row r="94" spans="1:5">
      <c r="A94">
        <v>93</v>
      </c>
      <c r="B94">
        <v>145</v>
      </c>
      <c r="C94" t="s">
        <v>228</v>
      </c>
      <c r="D94">
        <v>280.2</v>
      </c>
      <c r="E94" t="s">
        <v>223</v>
      </c>
    </row>
    <row r="95" spans="1:5">
      <c r="A95">
        <v>94</v>
      </c>
      <c r="B95">
        <v>154</v>
      </c>
      <c r="C95" t="s">
        <v>220</v>
      </c>
      <c r="D95">
        <v>204.2</v>
      </c>
      <c r="E95" t="s">
        <v>221</v>
      </c>
    </row>
    <row r="96" spans="1:5">
      <c r="A96">
        <v>95</v>
      </c>
      <c r="B96">
        <v>190</v>
      </c>
      <c r="C96" t="s">
        <v>228</v>
      </c>
      <c r="D96">
        <v>249.1</v>
      </c>
      <c r="E96" t="s">
        <v>229</v>
      </c>
    </row>
    <row r="97" spans="1:5">
      <c r="A97">
        <v>96</v>
      </c>
      <c r="B97">
        <v>122</v>
      </c>
      <c r="C97" t="s">
        <v>230</v>
      </c>
      <c r="D97">
        <v>170.4</v>
      </c>
      <c r="E97" t="s">
        <v>231</v>
      </c>
    </row>
    <row r="98" spans="1:5">
      <c r="A98">
        <v>97</v>
      </c>
      <c r="B98">
        <v>46</v>
      </c>
      <c r="C98" t="s">
        <v>227</v>
      </c>
      <c r="D98">
        <v>79.3</v>
      </c>
      <c r="E98" t="s">
        <v>226</v>
      </c>
    </row>
    <row r="99" spans="1:5">
      <c r="A99">
        <v>98</v>
      </c>
      <c r="B99">
        <v>64</v>
      </c>
      <c r="C99" t="s">
        <v>230</v>
      </c>
      <c r="D99">
        <v>81.3</v>
      </c>
      <c r="E99" t="s">
        <v>224</v>
      </c>
    </row>
    <row r="100" spans="1:5">
      <c r="A100">
        <v>99</v>
      </c>
      <c r="B100">
        <v>130</v>
      </c>
      <c r="C100" t="s">
        <v>220</v>
      </c>
      <c r="D100">
        <v>221.4</v>
      </c>
      <c r="E100" t="s">
        <v>229</v>
      </c>
    </row>
    <row r="101" spans="1:5">
      <c r="A101">
        <v>100</v>
      </c>
      <c r="B101">
        <v>54</v>
      </c>
      <c r="C101" t="s">
        <v>230</v>
      </c>
      <c r="D101">
        <v>157.6</v>
      </c>
      <c r="E101" t="s">
        <v>229</v>
      </c>
    </row>
    <row r="102" spans="1:5">
      <c r="A102">
        <v>101</v>
      </c>
      <c r="B102">
        <v>107</v>
      </c>
      <c r="C102" t="s">
        <v>227</v>
      </c>
      <c r="D102">
        <v>100.1</v>
      </c>
      <c r="E102" t="s">
        <v>226</v>
      </c>
    </row>
    <row r="103" spans="1:5">
      <c r="A103">
        <v>102</v>
      </c>
      <c r="B103">
        <v>193</v>
      </c>
      <c r="C103" t="s">
        <v>222</v>
      </c>
      <c r="D103">
        <v>172.9</v>
      </c>
      <c r="E103" t="s">
        <v>229</v>
      </c>
    </row>
    <row r="104" spans="1:5">
      <c r="A104">
        <v>103</v>
      </c>
      <c r="B104">
        <v>51</v>
      </c>
      <c r="C104" t="s">
        <v>220</v>
      </c>
      <c r="D104">
        <v>66.1</v>
      </c>
      <c r="E104" t="s">
        <v>231</v>
      </c>
    </row>
    <row r="105" spans="1:5">
      <c r="A105">
        <v>104</v>
      </c>
      <c r="B105">
        <v>181</v>
      </c>
      <c r="C105" t="s">
        <v>222</v>
      </c>
      <c r="D105">
        <v>195.5</v>
      </c>
      <c r="E105" t="s">
        <v>231</v>
      </c>
    </row>
    <row r="106" spans="1:5">
      <c r="A106">
        <v>105</v>
      </c>
      <c r="B106">
        <v>36</v>
      </c>
      <c r="C106" t="s">
        <v>225</v>
      </c>
      <c r="D106">
        <v>117.2</v>
      </c>
      <c r="E106" t="s">
        <v>226</v>
      </c>
    </row>
    <row r="107" spans="1:5">
      <c r="A107">
        <v>106</v>
      </c>
      <c r="B107">
        <v>115</v>
      </c>
      <c r="C107" t="s">
        <v>222</v>
      </c>
      <c r="D107">
        <v>249.4</v>
      </c>
      <c r="E107" t="s">
        <v>224</v>
      </c>
    </row>
    <row r="108" spans="1:5">
      <c r="A108">
        <v>107</v>
      </c>
      <c r="B108">
        <v>26</v>
      </c>
      <c r="C108" t="s">
        <v>225</v>
      </c>
      <c r="D108">
        <v>127.6</v>
      </c>
      <c r="E108" t="s">
        <v>223</v>
      </c>
    </row>
    <row r="109" spans="1:5">
      <c r="A109">
        <v>108</v>
      </c>
      <c r="B109">
        <v>29</v>
      </c>
      <c r="C109" t="s">
        <v>225</v>
      </c>
      <c r="D109">
        <v>163.8</v>
      </c>
      <c r="E109" t="s">
        <v>221</v>
      </c>
    </row>
    <row r="110" spans="1:5">
      <c r="A110">
        <v>109</v>
      </c>
      <c r="B110">
        <v>149</v>
      </c>
      <c r="C110" t="s">
        <v>222</v>
      </c>
      <c r="D110">
        <v>52.9</v>
      </c>
      <c r="E110" t="s">
        <v>223</v>
      </c>
    </row>
    <row r="111" spans="1:5">
      <c r="A111">
        <v>110</v>
      </c>
      <c r="B111">
        <v>11</v>
      </c>
      <c r="C111" t="s">
        <v>220</v>
      </c>
      <c r="D111">
        <v>68.1</v>
      </c>
      <c r="E111" t="s">
        <v>229</v>
      </c>
    </row>
    <row r="112" spans="1:5">
      <c r="A112">
        <v>111</v>
      </c>
      <c r="B112">
        <v>40</v>
      </c>
      <c r="C112" t="s">
        <v>227</v>
      </c>
      <c r="D112">
        <v>148.1</v>
      </c>
      <c r="E112" t="s">
        <v>221</v>
      </c>
    </row>
    <row r="113" spans="1:5">
      <c r="A113">
        <v>112</v>
      </c>
      <c r="B113">
        <v>11</v>
      </c>
      <c r="C113" t="s">
        <v>230</v>
      </c>
      <c r="D113">
        <v>170</v>
      </c>
      <c r="E113" t="s">
        <v>226</v>
      </c>
    </row>
    <row r="114" spans="1:5">
      <c r="A114">
        <v>113</v>
      </c>
      <c r="B114">
        <v>164</v>
      </c>
      <c r="C114" t="s">
        <v>230</v>
      </c>
      <c r="D114">
        <v>200</v>
      </c>
      <c r="E114" t="s">
        <v>226</v>
      </c>
    </row>
    <row r="115" spans="1:5">
      <c r="A115">
        <v>114</v>
      </c>
      <c r="B115">
        <v>113</v>
      </c>
      <c r="C115" t="s">
        <v>227</v>
      </c>
      <c r="D115">
        <v>122.9</v>
      </c>
      <c r="E115" t="s">
        <v>224</v>
      </c>
    </row>
    <row r="116" spans="1:5">
      <c r="A116">
        <v>115</v>
      </c>
      <c r="B116">
        <v>187</v>
      </c>
      <c r="C116" t="s">
        <v>225</v>
      </c>
      <c r="D116">
        <v>223.7</v>
      </c>
      <c r="E116" t="s">
        <v>221</v>
      </c>
    </row>
    <row r="117" spans="1:5">
      <c r="A117">
        <v>116</v>
      </c>
      <c r="B117">
        <v>39</v>
      </c>
      <c r="C117" t="s">
        <v>225</v>
      </c>
      <c r="D117">
        <v>265</v>
      </c>
      <c r="E117" t="s">
        <v>231</v>
      </c>
    </row>
    <row r="118" spans="1:5">
      <c r="A118">
        <v>117</v>
      </c>
      <c r="B118">
        <v>54</v>
      </c>
      <c r="C118" t="s">
        <v>220</v>
      </c>
      <c r="D118">
        <v>245</v>
      </c>
      <c r="E118" t="s">
        <v>221</v>
      </c>
    </row>
    <row r="119" spans="1:5">
      <c r="A119">
        <v>118</v>
      </c>
      <c r="B119">
        <v>98</v>
      </c>
      <c r="C119" t="s">
        <v>228</v>
      </c>
      <c r="D119">
        <v>59.9</v>
      </c>
      <c r="E119" t="s">
        <v>229</v>
      </c>
    </row>
    <row r="120" spans="1:5">
      <c r="A120">
        <v>119</v>
      </c>
      <c r="B120">
        <v>55</v>
      </c>
      <c r="C120" t="s">
        <v>222</v>
      </c>
      <c r="D120">
        <v>170.1</v>
      </c>
      <c r="E120" t="s">
        <v>231</v>
      </c>
    </row>
    <row r="121" spans="1:5">
      <c r="A121">
        <v>120</v>
      </c>
      <c r="B121">
        <v>111</v>
      </c>
      <c r="C121" t="s">
        <v>225</v>
      </c>
      <c r="D121">
        <v>76.2</v>
      </c>
      <c r="E121" t="s">
        <v>226</v>
      </c>
    </row>
    <row r="122" spans="1:5">
      <c r="A122">
        <v>121</v>
      </c>
      <c r="B122">
        <v>152</v>
      </c>
      <c r="C122" t="s">
        <v>230</v>
      </c>
      <c r="D122">
        <v>110.5</v>
      </c>
      <c r="E122" t="s">
        <v>221</v>
      </c>
    </row>
    <row r="123" spans="1:5">
      <c r="A123">
        <v>122</v>
      </c>
      <c r="B123">
        <v>150</v>
      </c>
      <c r="C123" t="s">
        <v>220</v>
      </c>
      <c r="D123">
        <v>296.7</v>
      </c>
      <c r="E123" t="s">
        <v>223</v>
      </c>
    </row>
    <row r="124" spans="1:5">
      <c r="A124">
        <v>123</v>
      </c>
      <c r="B124">
        <v>69</v>
      </c>
      <c r="C124" t="s">
        <v>222</v>
      </c>
      <c r="D124">
        <v>85.6</v>
      </c>
      <c r="E124" t="s">
        <v>224</v>
      </c>
    </row>
    <row r="125" spans="1:5">
      <c r="A125">
        <v>124</v>
      </c>
      <c r="B125">
        <v>56</v>
      </c>
      <c r="C125" t="s">
        <v>220</v>
      </c>
      <c r="D125">
        <v>174.7</v>
      </c>
      <c r="E125" t="s">
        <v>223</v>
      </c>
    </row>
    <row r="126" spans="1:5">
      <c r="A126">
        <v>125</v>
      </c>
      <c r="B126">
        <v>33</v>
      </c>
      <c r="C126" t="s">
        <v>222</v>
      </c>
      <c r="D126">
        <v>204.5</v>
      </c>
      <c r="E126" t="s">
        <v>224</v>
      </c>
    </row>
    <row r="127" spans="1:5">
      <c r="A127">
        <v>126</v>
      </c>
      <c r="B127">
        <v>36</v>
      </c>
      <c r="C127" t="s">
        <v>222</v>
      </c>
      <c r="D127">
        <v>225.6</v>
      </c>
      <c r="E127" t="s">
        <v>229</v>
      </c>
    </row>
    <row r="128" spans="1:5">
      <c r="A128">
        <v>127</v>
      </c>
      <c r="B128">
        <v>148</v>
      </c>
      <c r="C128" t="s">
        <v>227</v>
      </c>
      <c r="D128">
        <v>189.9</v>
      </c>
      <c r="E128" t="s">
        <v>223</v>
      </c>
    </row>
    <row r="129" spans="1:5">
      <c r="A129">
        <v>128</v>
      </c>
      <c r="B129">
        <v>81</v>
      </c>
      <c r="C129" t="s">
        <v>225</v>
      </c>
      <c r="D129">
        <v>52.4</v>
      </c>
      <c r="E129" t="s">
        <v>221</v>
      </c>
    </row>
    <row r="130" spans="1:5">
      <c r="A130">
        <v>129</v>
      </c>
      <c r="B130">
        <v>190</v>
      </c>
      <c r="C130" t="s">
        <v>220</v>
      </c>
      <c r="D130">
        <v>131.6</v>
      </c>
      <c r="E130" t="s">
        <v>221</v>
      </c>
    </row>
    <row r="131" spans="1:5">
      <c r="A131">
        <v>130</v>
      </c>
      <c r="B131">
        <v>109</v>
      </c>
      <c r="C131" t="s">
        <v>220</v>
      </c>
      <c r="D131">
        <v>179.4</v>
      </c>
      <c r="E131" t="s">
        <v>223</v>
      </c>
    </row>
    <row r="132" spans="1:5">
      <c r="A132">
        <v>131</v>
      </c>
      <c r="B132">
        <v>154</v>
      </c>
      <c r="C132" t="s">
        <v>227</v>
      </c>
      <c r="D132">
        <v>72</v>
      </c>
      <c r="E132" t="s">
        <v>221</v>
      </c>
    </row>
    <row r="133" spans="1:5">
      <c r="A133">
        <v>132</v>
      </c>
      <c r="B133">
        <v>194</v>
      </c>
      <c r="C133" t="s">
        <v>230</v>
      </c>
      <c r="D133">
        <v>137.7</v>
      </c>
      <c r="E133" t="s">
        <v>229</v>
      </c>
    </row>
    <row r="134" spans="1:5">
      <c r="A134">
        <v>133</v>
      </c>
      <c r="B134">
        <v>73</v>
      </c>
      <c r="C134" t="s">
        <v>230</v>
      </c>
      <c r="D134">
        <v>58.3</v>
      </c>
      <c r="E134" t="s">
        <v>231</v>
      </c>
    </row>
    <row r="135" spans="1:5">
      <c r="A135">
        <v>134</v>
      </c>
      <c r="B135">
        <v>40</v>
      </c>
      <c r="C135" t="s">
        <v>225</v>
      </c>
      <c r="D135">
        <v>69.6</v>
      </c>
      <c r="E135" t="s">
        <v>229</v>
      </c>
    </row>
    <row r="136" spans="1:5">
      <c r="A136">
        <v>135</v>
      </c>
      <c r="B136">
        <v>17</v>
      </c>
      <c r="C136" t="s">
        <v>225</v>
      </c>
      <c r="D136">
        <v>149.2</v>
      </c>
      <c r="E136" t="s">
        <v>224</v>
      </c>
    </row>
    <row r="137" spans="1:5">
      <c r="A137">
        <v>136</v>
      </c>
      <c r="B137">
        <v>129</v>
      </c>
      <c r="C137" t="s">
        <v>228</v>
      </c>
      <c r="D137">
        <v>83.2</v>
      </c>
      <c r="E137" t="s">
        <v>229</v>
      </c>
    </row>
    <row r="138" spans="1:5">
      <c r="A138">
        <v>137</v>
      </c>
      <c r="B138">
        <v>61</v>
      </c>
      <c r="C138" t="s">
        <v>227</v>
      </c>
      <c r="D138">
        <v>191.9</v>
      </c>
      <c r="E138" t="s">
        <v>224</v>
      </c>
    </row>
    <row r="139" spans="1:5">
      <c r="A139">
        <v>138</v>
      </c>
      <c r="B139">
        <v>171</v>
      </c>
      <c r="C139" t="s">
        <v>230</v>
      </c>
      <c r="D139">
        <v>222.4</v>
      </c>
      <c r="E139" t="s">
        <v>221</v>
      </c>
    </row>
    <row r="140" spans="1:5">
      <c r="A140">
        <v>139</v>
      </c>
      <c r="B140">
        <v>104</v>
      </c>
      <c r="C140" t="s">
        <v>222</v>
      </c>
      <c r="D140">
        <v>250.1</v>
      </c>
      <c r="E140" t="s">
        <v>231</v>
      </c>
    </row>
    <row r="141" spans="1:5">
      <c r="A141">
        <v>140</v>
      </c>
      <c r="B141">
        <v>42</v>
      </c>
      <c r="C141" t="s">
        <v>220</v>
      </c>
      <c r="D141">
        <v>100</v>
      </c>
      <c r="E141" t="s">
        <v>221</v>
      </c>
    </row>
    <row r="142" spans="1:5">
      <c r="A142">
        <v>141</v>
      </c>
      <c r="B142">
        <v>25</v>
      </c>
      <c r="C142" t="s">
        <v>225</v>
      </c>
      <c r="D142">
        <v>91.9</v>
      </c>
      <c r="E142" t="s">
        <v>226</v>
      </c>
    </row>
    <row r="143" spans="1:5">
      <c r="A143">
        <v>142</v>
      </c>
      <c r="B143">
        <v>39</v>
      </c>
      <c r="C143" t="s">
        <v>220</v>
      </c>
      <c r="D143">
        <v>76.1</v>
      </c>
      <c r="E143" t="s">
        <v>221</v>
      </c>
    </row>
    <row r="144" spans="1:5">
      <c r="A144">
        <v>143</v>
      </c>
      <c r="B144">
        <v>35</v>
      </c>
      <c r="C144" t="s">
        <v>220</v>
      </c>
      <c r="D144">
        <v>209.1</v>
      </c>
      <c r="E144" t="s">
        <v>224</v>
      </c>
    </row>
    <row r="145" spans="1:5">
      <c r="A145">
        <v>144</v>
      </c>
      <c r="B145">
        <v>131</v>
      </c>
      <c r="C145" t="s">
        <v>228</v>
      </c>
      <c r="D145">
        <v>226.6</v>
      </c>
      <c r="E145" t="s">
        <v>221</v>
      </c>
    </row>
    <row r="146" spans="1:5">
      <c r="A146">
        <v>145</v>
      </c>
      <c r="B146">
        <v>108</v>
      </c>
      <c r="C146" t="s">
        <v>230</v>
      </c>
      <c r="D146">
        <v>57.9</v>
      </c>
      <c r="E146" t="s">
        <v>221</v>
      </c>
    </row>
    <row r="147" spans="1:5">
      <c r="A147">
        <v>146</v>
      </c>
      <c r="B147">
        <v>172</v>
      </c>
      <c r="C147" t="s">
        <v>225</v>
      </c>
      <c r="D147">
        <v>284.1</v>
      </c>
      <c r="E147" t="s">
        <v>231</v>
      </c>
    </row>
    <row r="148" spans="1:5">
      <c r="A148">
        <v>147</v>
      </c>
      <c r="B148">
        <v>179</v>
      </c>
      <c r="C148" t="s">
        <v>220</v>
      </c>
      <c r="D148">
        <v>63</v>
      </c>
      <c r="E148" t="s">
        <v>221</v>
      </c>
    </row>
    <row r="149" spans="1:5">
      <c r="A149">
        <v>148</v>
      </c>
      <c r="B149">
        <v>102</v>
      </c>
      <c r="C149" t="s">
        <v>225</v>
      </c>
      <c r="D149">
        <v>185.3</v>
      </c>
      <c r="E149" t="s">
        <v>231</v>
      </c>
    </row>
    <row r="150" spans="1:5">
      <c r="A150">
        <v>149</v>
      </c>
      <c r="B150">
        <v>98</v>
      </c>
      <c r="C150" t="s">
        <v>222</v>
      </c>
      <c r="D150">
        <v>227.3</v>
      </c>
      <c r="E150" t="s">
        <v>223</v>
      </c>
    </row>
    <row r="151" spans="1:5">
      <c r="A151">
        <v>150</v>
      </c>
      <c r="B151">
        <v>12</v>
      </c>
      <c r="C151" t="s">
        <v>228</v>
      </c>
      <c r="D151">
        <v>267.7</v>
      </c>
      <c r="E151" t="s">
        <v>226</v>
      </c>
    </row>
    <row r="152" spans="1:5">
      <c r="A152">
        <v>151</v>
      </c>
      <c r="B152">
        <v>19</v>
      </c>
      <c r="C152" t="s">
        <v>222</v>
      </c>
      <c r="D152">
        <v>228.5</v>
      </c>
      <c r="E152" t="s">
        <v>231</v>
      </c>
    </row>
    <row r="153" spans="1:5">
      <c r="A153">
        <v>152</v>
      </c>
      <c r="B153">
        <v>101</v>
      </c>
      <c r="C153" t="s">
        <v>225</v>
      </c>
      <c r="D153">
        <v>250.4</v>
      </c>
      <c r="E153" t="s">
        <v>224</v>
      </c>
    </row>
    <row r="154" spans="1:5">
      <c r="A154">
        <v>153</v>
      </c>
      <c r="B154">
        <v>44</v>
      </c>
      <c r="C154" t="s">
        <v>225</v>
      </c>
      <c r="D154">
        <v>134.9</v>
      </c>
      <c r="E154" t="s">
        <v>223</v>
      </c>
    </row>
    <row r="155" spans="1:5">
      <c r="A155">
        <v>154</v>
      </c>
      <c r="B155">
        <v>187</v>
      </c>
      <c r="C155" t="s">
        <v>230</v>
      </c>
      <c r="D155">
        <v>253.7</v>
      </c>
      <c r="E155" t="s">
        <v>231</v>
      </c>
    </row>
    <row r="156" spans="1:5">
      <c r="A156">
        <v>155</v>
      </c>
      <c r="B156">
        <v>49</v>
      </c>
      <c r="C156" t="s">
        <v>220</v>
      </c>
      <c r="D156">
        <v>70</v>
      </c>
      <c r="E156" t="s">
        <v>231</v>
      </c>
    </row>
    <row r="157" spans="1:5">
      <c r="A157">
        <v>156</v>
      </c>
      <c r="B157">
        <v>189</v>
      </c>
      <c r="C157" t="s">
        <v>220</v>
      </c>
      <c r="D157">
        <v>273.7</v>
      </c>
      <c r="E157" t="s">
        <v>226</v>
      </c>
    </row>
    <row r="158" spans="1:5">
      <c r="A158">
        <v>157</v>
      </c>
      <c r="B158">
        <v>17</v>
      </c>
      <c r="C158" t="s">
        <v>222</v>
      </c>
      <c r="D158">
        <v>186.9</v>
      </c>
      <c r="E158" t="s">
        <v>224</v>
      </c>
    </row>
    <row r="159" spans="1:5">
      <c r="A159">
        <v>158</v>
      </c>
      <c r="B159">
        <v>74</v>
      </c>
      <c r="C159" t="s">
        <v>228</v>
      </c>
      <c r="D159">
        <v>254.3</v>
      </c>
      <c r="E159" t="s">
        <v>229</v>
      </c>
    </row>
    <row r="160" spans="1:5">
      <c r="A160">
        <v>159</v>
      </c>
      <c r="B160">
        <v>57</v>
      </c>
      <c r="C160" t="s">
        <v>227</v>
      </c>
      <c r="D160">
        <v>163.1</v>
      </c>
      <c r="E160" t="s">
        <v>229</v>
      </c>
    </row>
    <row r="161" spans="1:5">
      <c r="A161">
        <v>160</v>
      </c>
      <c r="B161">
        <v>55</v>
      </c>
      <c r="C161" t="s">
        <v>220</v>
      </c>
      <c r="D161">
        <v>210.9</v>
      </c>
      <c r="E161" t="s">
        <v>231</v>
      </c>
    </row>
    <row r="162" spans="1:5">
      <c r="A162">
        <v>161</v>
      </c>
      <c r="B162">
        <v>47</v>
      </c>
      <c r="C162" t="s">
        <v>230</v>
      </c>
      <c r="D162">
        <v>181.6</v>
      </c>
      <c r="E162" t="s">
        <v>221</v>
      </c>
    </row>
    <row r="163" spans="1:5">
      <c r="A163">
        <v>162</v>
      </c>
      <c r="B163">
        <v>12</v>
      </c>
      <c r="C163" t="s">
        <v>222</v>
      </c>
      <c r="D163">
        <v>232.9</v>
      </c>
      <c r="E163" t="s">
        <v>224</v>
      </c>
    </row>
    <row r="164" spans="1:5">
      <c r="A164">
        <v>163</v>
      </c>
      <c r="B164">
        <v>62</v>
      </c>
      <c r="C164" t="s">
        <v>222</v>
      </c>
      <c r="D164">
        <v>70.4</v>
      </c>
      <c r="E164" t="s">
        <v>223</v>
      </c>
    </row>
    <row r="165" spans="1:5">
      <c r="A165">
        <v>164</v>
      </c>
      <c r="B165">
        <v>80</v>
      </c>
      <c r="C165" t="s">
        <v>227</v>
      </c>
      <c r="D165">
        <v>65.1</v>
      </c>
      <c r="E165" t="s">
        <v>221</v>
      </c>
    </row>
    <row r="166" spans="1:5">
      <c r="A166">
        <v>165</v>
      </c>
      <c r="B166">
        <v>83</v>
      </c>
      <c r="C166" t="s">
        <v>230</v>
      </c>
      <c r="D166">
        <v>111.8</v>
      </c>
      <c r="E166" t="s">
        <v>221</v>
      </c>
    </row>
    <row r="167" spans="1:5">
      <c r="A167">
        <v>166</v>
      </c>
      <c r="B167">
        <v>8</v>
      </c>
      <c r="C167" t="s">
        <v>228</v>
      </c>
      <c r="D167">
        <v>89.9</v>
      </c>
      <c r="E167" t="s">
        <v>224</v>
      </c>
    </row>
    <row r="168" spans="1:5">
      <c r="A168">
        <v>167</v>
      </c>
      <c r="B168">
        <v>149</v>
      </c>
      <c r="C168" t="s">
        <v>230</v>
      </c>
      <c r="D168">
        <v>267.9</v>
      </c>
      <c r="E168" t="s">
        <v>231</v>
      </c>
    </row>
    <row r="169" spans="1:5">
      <c r="A169">
        <v>168</v>
      </c>
      <c r="B169">
        <v>81</v>
      </c>
      <c r="C169" t="s">
        <v>228</v>
      </c>
      <c r="D169">
        <v>104.8</v>
      </c>
      <c r="E169" t="s">
        <v>231</v>
      </c>
    </row>
    <row r="170" spans="1:5">
      <c r="A170">
        <v>169</v>
      </c>
      <c r="B170">
        <v>118</v>
      </c>
      <c r="C170" t="s">
        <v>230</v>
      </c>
      <c r="D170">
        <v>294</v>
      </c>
      <c r="E170" t="s">
        <v>231</v>
      </c>
    </row>
    <row r="171" spans="1:5">
      <c r="A171">
        <v>170</v>
      </c>
      <c r="B171">
        <v>198</v>
      </c>
      <c r="C171" t="s">
        <v>230</v>
      </c>
      <c r="D171">
        <v>134.2</v>
      </c>
      <c r="E171" t="s">
        <v>231</v>
      </c>
    </row>
    <row r="172" spans="1:5">
      <c r="A172">
        <v>171</v>
      </c>
      <c r="B172">
        <v>200</v>
      </c>
      <c r="C172" t="s">
        <v>225</v>
      </c>
      <c r="D172">
        <v>95.5</v>
      </c>
      <c r="E172" t="s">
        <v>229</v>
      </c>
    </row>
    <row r="173" spans="1:5">
      <c r="A173">
        <v>172</v>
      </c>
      <c r="B173">
        <v>25</v>
      </c>
      <c r="C173" t="s">
        <v>222</v>
      </c>
      <c r="D173">
        <v>247.4</v>
      </c>
      <c r="E173" t="s">
        <v>231</v>
      </c>
    </row>
    <row r="174" spans="1:5">
      <c r="A174">
        <v>173</v>
      </c>
      <c r="B174">
        <v>89</v>
      </c>
      <c r="C174" t="s">
        <v>230</v>
      </c>
      <c r="D174">
        <v>214.7</v>
      </c>
      <c r="E174" t="s">
        <v>229</v>
      </c>
    </row>
    <row r="175" spans="1:5">
      <c r="A175">
        <v>174</v>
      </c>
      <c r="B175">
        <v>12</v>
      </c>
      <c r="C175" t="s">
        <v>227</v>
      </c>
      <c r="D175">
        <v>174.5</v>
      </c>
      <c r="E175" t="s">
        <v>229</v>
      </c>
    </row>
    <row r="176" spans="1:5">
      <c r="A176">
        <v>175</v>
      </c>
      <c r="B176">
        <v>143</v>
      </c>
      <c r="C176" t="s">
        <v>230</v>
      </c>
      <c r="D176">
        <v>188.8</v>
      </c>
      <c r="E176" t="s">
        <v>231</v>
      </c>
    </row>
    <row r="177" spans="1:5">
      <c r="A177">
        <v>176</v>
      </c>
      <c r="B177">
        <v>59</v>
      </c>
      <c r="C177" t="s">
        <v>220</v>
      </c>
      <c r="D177">
        <v>229.8</v>
      </c>
      <c r="E177" t="s">
        <v>226</v>
      </c>
    </row>
    <row r="178" spans="1:5">
      <c r="A178">
        <v>177</v>
      </c>
      <c r="B178">
        <v>154</v>
      </c>
      <c r="C178" t="s">
        <v>222</v>
      </c>
      <c r="D178">
        <v>107.1</v>
      </c>
      <c r="E178" t="s">
        <v>223</v>
      </c>
    </row>
    <row r="179" spans="1:5">
      <c r="A179">
        <v>178</v>
      </c>
      <c r="B179">
        <v>109</v>
      </c>
      <c r="C179" t="s">
        <v>220</v>
      </c>
      <c r="D179">
        <v>299.1</v>
      </c>
      <c r="E179" t="s">
        <v>221</v>
      </c>
    </row>
    <row r="180" spans="1:5">
      <c r="A180">
        <v>179</v>
      </c>
      <c r="B180">
        <v>26</v>
      </c>
      <c r="C180" t="s">
        <v>222</v>
      </c>
      <c r="D180">
        <v>293.7</v>
      </c>
      <c r="E180" t="s">
        <v>229</v>
      </c>
    </row>
    <row r="181" spans="1:5">
      <c r="A181">
        <v>180</v>
      </c>
      <c r="B181">
        <v>47</v>
      </c>
      <c r="C181" t="s">
        <v>220</v>
      </c>
      <c r="D181">
        <v>212.6</v>
      </c>
      <c r="E181" t="s">
        <v>224</v>
      </c>
    </row>
    <row r="182" spans="1:5">
      <c r="A182">
        <v>181</v>
      </c>
      <c r="B182">
        <v>32</v>
      </c>
      <c r="C182" t="s">
        <v>230</v>
      </c>
      <c r="D182">
        <v>99.9</v>
      </c>
      <c r="E182" t="s">
        <v>224</v>
      </c>
    </row>
    <row r="183" spans="1:5">
      <c r="A183">
        <v>182</v>
      </c>
      <c r="B183">
        <v>10</v>
      </c>
      <c r="C183" t="s">
        <v>230</v>
      </c>
      <c r="D183">
        <v>220.1</v>
      </c>
      <c r="E183" t="s">
        <v>223</v>
      </c>
    </row>
    <row r="184" spans="1:5">
      <c r="A184">
        <v>183</v>
      </c>
      <c r="B184">
        <v>16</v>
      </c>
      <c r="C184" t="s">
        <v>225</v>
      </c>
      <c r="D184">
        <v>68</v>
      </c>
      <c r="E184" t="s">
        <v>224</v>
      </c>
    </row>
    <row r="185" spans="1:5">
      <c r="A185">
        <v>184</v>
      </c>
      <c r="B185">
        <v>199</v>
      </c>
      <c r="C185" t="s">
        <v>227</v>
      </c>
      <c r="D185">
        <v>57.7</v>
      </c>
      <c r="E185" t="s">
        <v>226</v>
      </c>
    </row>
    <row r="186" spans="1:5">
      <c r="A186">
        <v>185</v>
      </c>
      <c r="B186">
        <v>145</v>
      </c>
      <c r="C186" t="s">
        <v>220</v>
      </c>
      <c r="D186">
        <v>114.4</v>
      </c>
      <c r="E186" t="s">
        <v>224</v>
      </c>
    </row>
    <row r="187" spans="1:5">
      <c r="A187">
        <v>186</v>
      </c>
      <c r="B187">
        <v>151</v>
      </c>
      <c r="C187" t="s">
        <v>228</v>
      </c>
      <c r="D187">
        <v>165.7</v>
      </c>
      <c r="E187" t="s">
        <v>221</v>
      </c>
    </row>
    <row r="188" spans="1:5">
      <c r="A188">
        <v>187</v>
      </c>
      <c r="B188">
        <v>26</v>
      </c>
      <c r="C188" t="s">
        <v>225</v>
      </c>
      <c r="D188">
        <v>267.1</v>
      </c>
      <c r="E188" t="s">
        <v>221</v>
      </c>
    </row>
    <row r="189" spans="1:5">
      <c r="A189">
        <v>188</v>
      </c>
      <c r="B189">
        <v>86</v>
      </c>
      <c r="C189" t="s">
        <v>220</v>
      </c>
      <c r="D189">
        <v>231.8</v>
      </c>
      <c r="E189" t="s">
        <v>229</v>
      </c>
    </row>
    <row r="190" spans="1:5">
      <c r="A190">
        <v>189</v>
      </c>
      <c r="B190">
        <v>135</v>
      </c>
      <c r="C190" t="s">
        <v>220</v>
      </c>
      <c r="D190">
        <v>235.7</v>
      </c>
      <c r="E190" t="s">
        <v>231</v>
      </c>
    </row>
    <row r="191" spans="1:5">
      <c r="A191">
        <v>190</v>
      </c>
      <c r="B191">
        <v>14</v>
      </c>
      <c r="C191" t="s">
        <v>225</v>
      </c>
      <c r="D191">
        <v>156.4</v>
      </c>
      <c r="E191" t="s">
        <v>226</v>
      </c>
    </row>
    <row r="192" spans="1:5">
      <c r="A192">
        <v>191</v>
      </c>
      <c r="B192">
        <v>79</v>
      </c>
      <c r="C192" t="s">
        <v>230</v>
      </c>
      <c r="D192">
        <v>136.5</v>
      </c>
      <c r="E192" t="s">
        <v>229</v>
      </c>
    </row>
    <row r="193" spans="1:5">
      <c r="A193">
        <v>192</v>
      </c>
      <c r="B193">
        <v>117</v>
      </c>
      <c r="C193" t="s">
        <v>220</v>
      </c>
      <c r="D193">
        <v>142.8</v>
      </c>
      <c r="E193" t="s">
        <v>226</v>
      </c>
    </row>
    <row r="194" spans="1:5">
      <c r="A194">
        <v>193</v>
      </c>
      <c r="B194">
        <v>7</v>
      </c>
      <c r="C194" t="s">
        <v>230</v>
      </c>
      <c r="D194">
        <v>296.9</v>
      </c>
      <c r="E194" t="s">
        <v>231</v>
      </c>
    </row>
    <row r="195" spans="1:5">
      <c r="A195">
        <v>194</v>
      </c>
      <c r="B195">
        <v>137</v>
      </c>
      <c r="C195" t="s">
        <v>225</v>
      </c>
      <c r="D195">
        <v>60</v>
      </c>
      <c r="E195" t="s">
        <v>224</v>
      </c>
    </row>
    <row r="196" spans="1:5">
      <c r="A196">
        <v>195</v>
      </c>
      <c r="B196">
        <v>115</v>
      </c>
      <c r="C196" t="s">
        <v>230</v>
      </c>
      <c r="D196">
        <v>266.8</v>
      </c>
      <c r="E196" t="s">
        <v>224</v>
      </c>
    </row>
    <row r="197" spans="1:5">
      <c r="A197">
        <v>196</v>
      </c>
      <c r="B197">
        <v>176</v>
      </c>
      <c r="C197" t="s">
        <v>222</v>
      </c>
      <c r="D197">
        <v>194.7</v>
      </c>
      <c r="E197" t="s">
        <v>231</v>
      </c>
    </row>
    <row r="198" spans="1:5">
      <c r="A198">
        <v>197</v>
      </c>
      <c r="B198">
        <v>72</v>
      </c>
      <c r="C198" t="s">
        <v>228</v>
      </c>
      <c r="D198">
        <v>159.7</v>
      </c>
      <c r="E198" t="s">
        <v>229</v>
      </c>
    </row>
    <row r="199" spans="1:5">
      <c r="A199">
        <v>198</v>
      </c>
      <c r="B199">
        <v>59</v>
      </c>
      <c r="C199" t="s">
        <v>220</v>
      </c>
      <c r="D199">
        <v>231.3</v>
      </c>
      <c r="E199" t="s">
        <v>231</v>
      </c>
    </row>
    <row r="200" spans="1:5">
      <c r="A200">
        <v>199</v>
      </c>
      <c r="B200">
        <v>82</v>
      </c>
      <c r="C200" t="s">
        <v>227</v>
      </c>
      <c r="D200">
        <v>171.7</v>
      </c>
      <c r="E200" t="s">
        <v>223</v>
      </c>
    </row>
    <row r="201" spans="1:5">
      <c r="A201">
        <v>200</v>
      </c>
      <c r="B201">
        <v>116</v>
      </c>
      <c r="C201" t="s">
        <v>228</v>
      </c>
      <c r="D201">
        <v>268.4</v>
      </c>
      <c r="E201" t="s">
        <v>221</v>
      </c>
    </row>
  </sheetData>
  <autoFilter xmlns:etc="http://www.wps.cn/officeDocument/2017/etCustomData" ref="A1:E201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1" sqref="A1:B4"/>
    </sheetView>
  </sheetViews>
  <sheetFormatPr defaultColWidth="8.88888888888889" defaultRowHeight="14.4" outlineLevelRow="3" outlineLevelCol="1"/>
  <sheetData>
    <row r="1" spans="1:2">
      <c r="A1" t="s">
        <v>7</v>
      </c>
      <c r="B1" t="s">
        <v>10</v>
      </c>
    </row>
    <row r="2" spans="1:2">
      <c r="A2">
        <v>1</v>
      </c>
      <c r="B2" t="s">
        <v>232</v>
      </c>
    </row>
    <row r="3" spans="1:2">
      <c r="A3">
        <v>2</v>
      </c>
      <c r="B3" t="s">
        <v>233</v>
      </c>
    </row>
    <row r="4" spans="1:2">
      <c r="A4">
        <v>3</v>
      </c>
      <c r="B4" t="s">
        <v>234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A1" sqref="A1:B11"/>
    </sheetView>
  </sheetViews>
  <sheetFormatPr defaultColWidth="8.88888888888889" defaultRowHeight="14.4" outlineLevelCol="1"/>
  <cols>
    <col min="1" max="1" width="11.2222222222222" customWidth="1"/>
    <col min="2" max="2" width="14.7777777777778" customWidth="1"/>
  </cols>
  <sheetData>
    <row r="1" spans="1:2">
      <c r="A1" t="s">
        <v>4</v>
      </c>
      <c r="B1" t="s">
        <v>9</v>
      </c>
    </row>
    <row r="2" spans="1:2">
      <c r="A2">
        <v>1</v>
      </c>
      <c r="B2" t="s">
        <v>235</v>
      </c>
    </row>
    <row r="3" spans="1:2">
      <c r="A3">
        <v>2</v>
      </c>
      <c r="B3" t="s">
        <v>236</v>
      </c>
    </row>
    <row r="4" spans="1:2">
      <c r="A4">
        <v>3</v>
      </c>
      <c r="B4" t="s">
        <v>237</v>
      </c>
    </row>
    <row r="5" spans="1:2">
      <c r="A5">
        <v>4</v>
      </c>
      <c r="B5" t="s">
        <v>238</v>
      </c>
    </row>
    <row r="6" spans="1:2">
      <c r="A6">
        <v>5</v>
      </c>
      <c r="B6" t="s">
        <v>239</v>
      </c>
    </row>
    <row r="7" spans="1:2">
      <c r="A7">
        <v>6</v>
      </c>
      <c r="B7" t="s">
        <v>240</v>
      </c>
    </row>
    <row r="8" spans="1:2">
      <c r="A8">
        <v>7</v>
      </c>
      <c r="B8" t="s">
        <v>241</v>
      </c>
    </row>
    <row r="9" spans="1:2">
      <c r="A9">
        <v>8</v>
      </c>
      <c r="B9" t="s">
        <v>242</v>
      </c>
    </row>
    <row r="10" spans="1:2">
      <c r="A10">
        <v>9</v>
      </c>
      <c r="B10" t="s">
        <v>243</v>
      </c>
    </row>
    <row r="11" spans="1:2">
      <c r="A11">
        <v>10</v>
      </c>
      <c r="B11" t="s">
        <v>244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patients</vt:lpstr>
      <vt:lpstr>labs</vt:lpstr>
      <vt:lpstr>outcomes</vt:lpstr>
      <vt:lpstr>diagnoses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Jyoti Nath</cp:lastModifiedBy>
  <dcterms:created xsi:type="dcterms:W3CDTF">2026-03-24T21:15:52Z</dcterms:created>
  <dcterms:modified xsi:type="dcterms:W3CDTF">2026-03-24T22:26:46Z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7211259EC8BF4FDAB846987EFE5F777C_13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